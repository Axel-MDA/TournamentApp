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m\Documents\BDS\"/>
    </mc:Choice>
  </mc:AlternateContent>
  <xr:revisionPtr revIDLastSave="0" documentId="13_ncr:1_{56F1C3ED-A974-44F6-8DDE-2DF370A5D0A9}" xr6:coauthVersionLast="47" xr6:coauthVersionMax="47" xr10:uidLastSave="{00000000-0000-0000-0000-000000000000}"/>
  <bookViews>
    <workbookView xWindow="-120" yWindow="-120" windowWidth="29040" windowHeight="15720" firstSheet="1" activeTab="2" xr2:uid="{9BEF2EC5-9799-441B-B893-0B81EDDE010D}"/>
  </bookViews>
  <sheets>
    <sheet name="6 Equipes 2P" sheetId="1" r:id="rId1"/>
    <sheet name="6 Equipes 1P 3T" sheetId="24" r:id="rId2"/>
    <sheet name="8 Swiss" sheetId="34" r:id="rId3"/>
    <sheet name="8 DoubleElim" sheetId="36" r:id="rId4"/>
    <sheet name="8 Equipes" sheetId="7" r:id="rId5"/>
    <sheet name="10 Equipes" sheetId="8" r:id="rId6"/>
    <sheet name="12 Equipes 3P" sheetId="20" r:id="rId7"/>
    <sheet name="12 Equipes 2P" sheetId="9" r:id="rId8"/>
    <sheet name="14 Equipes" sheetId="10" r:id="rId9"/>
    <sheet name="16 Equipes" sheetId="11" r:id="rId10"/>
    <sheet name="16 Equipes rapide" sheetId="26" r:id="rId11"/>
    <sheet name="IMPR12" sheetId="29" r:id="rId12"/>
    <sheet name="IMPR16" sheetId="28" r:id="rId13"/>
    <sheet name="IMPR18" sheetId="32" r:id="rId14"/>
    <sheet name="tournoi de noel volley" sheetId="2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" i="34" l="1"/>
  <c r="AE23" i="36"/>
  <c r="Z25" i="36"/>
  <c r="V27" i="36"/>
  <c r="V23" i="36"/>
  <c r="S28" i="36"/>
  <c r="S24" i="36"/>
  <c r="S15" i="36"/>
  <c r="S22" i="36" s="1"/>
  <c r="S7" i="36"/>
  <c r="S26" i="36" s="1"/>
  <c r="N17" i="36"/>
  <c r="N13" i="36"/>
  <c r="N27" i="36" s="1"/>
  <c r="N9" i="36"/>
  <c r="N25" i="36" s="1"/>
  <c r="N5" i="36"/>
  <c r="N23" i="36" s="1"/>
  <c r="G14" i="36"/>
  <c r="G8" i="36"/>
  <c r="G12" i="36"/>
  <c r="G10" i="36"/>
  <c r="G16" i="36"/>
  <c r="G6" i="36"/>
  <c r="G18" i="36"/>
  <c r="G4" i="36"/>
  <c r="AW5" i="34"/>
  <c r="AW6" i="34"/>
  <c r="AW7" i="34"/>
  <c r="AW8" i="34"/>
  <c r="AW9" i="34"/>
  <c r="AW10" i="34"/>
  <c r="AW11" i="34"/>
  <c r="AW12" i="34"/>
  <c r="L14" i="34"/>
  <c r="L12" i="34"/>
  <c r="L10" i="34"/>
  <c r="L8" i="34"/>
  <c r="H14" i="34"/>
  <c r="H12" i="34"/>
  <c r="H10" i="34"/>
  <c r="H8" i="34"/>
  <c r="T8" i="34"/>
  <c r="AB5" i="34" s="1"/>
  <c r="AF11" i="34" s="1"/>
  <c r="T6" i="34"/>
  <c r="X10" i="34" s="1"/>
  <c r="AJ16" i="34" s="1"/>
  <c r="AN14" i="34" s="1"/>
  <c r="P8" i="34"/>
  <c r="X12" i="34" s="1"/>
  <c r="P14" i="34"/>
  <c r="X17" i="34" s="1"/>
  <c r="P6" i="34"/>
  <c r="X5" i="34" s="1"/>
  <c r="T16" i="34"/>
  <c r="T37" i="32"/>
  <c r="T13" i="32"/>
  <c r="P4" i="32"/>
  <c r="P10" i="32"/>
  <c r="P16" i="32"/>
  <c r="P22" i="32"/>
  <c r="P28" i="32"/>
  <c r="P34" i="32"/>
  <c r="P46" i="32"/>
  <c r="P40" i="32"/>
  <c r="R43" i="32"/>
  <c r="R31" i="32"/>
  <c r="R19" i="32"/>
  <c r="R7" i="32"/>
  <c r="U47" i="32"/>
  <c r="U45" i="32"/>
  <c r="J33" i="32"/>
  <c r="F33" i="32"/>
  <c r="J32" i="32"/>
  <c r="F32" i="32"/>
  <c r="J31" i="32"/>
  <c r="F31" i="32"/>
  <c r="J28" i="32"/>
  <c r="F28" i="32"/>
  <c r="J27" i="32"/>
  <c r="F27" i="32"/>
  <c r="J26" i="32"/>
  <c r="F26" i="32"/>
  <c r="J38" i="32"/>
  <c r="F38" i="32"/>
  <c r="J37" i="32"/>
  <c r="F37" i="32"/>
  <c r="J36" i="32"/>
  <c r="F36" i="32"/>
  <c r="J23" i="32"/>
  <c r="F23" i="32"/>
  <c r="J22" i="32"/>
  <c r="F22" i="32"/>
  <c r="J21" i="32"/>
  <c r="F21" i="32"/>
  <c r="J18" i="32"/>
  <c r="F18" i="32"/>
  <c r="J17" i="32"/>
  <c r="F17" i="32"/>
  <c r="J16" i="32"/>
  <c r="F16" i="32"/>
  <c r="J13" i="32"/>
  <c r="F13" i="32"/>
  <c r="J12" i="32"/>
  <c r="F12" i="32"/>
  <c r="J11" i="32"/>
  <c r="F11" i="32"/>
  <c r="S28" i="29"/>
  <c r="J25" i="29"/>
  <c r="F25" i="29"/>
  <c r="P24" i="29"/>
  <c r="O24" i="29"/>
  <c r="J24" i="29"/>
  <c r="F24" i="29"/>
  <c r="J23" i="29"/>
  <c r="F23" i="29"/>
  <c r="J22" i="29"/>
  <c r="F22" i="29"/>
  <c r="S21" i="29"/>
  <c r="S30" i="29" s="1"/>
  <c r="R21" i="29"/>
  <c r="J21" i="29"/>
  <c r="F21" i="29"/>
  <c r="J20" i="29"/>
  <c r="F20" i="29"/>
  <c r="P18" i="29"/>
  <c r="O18" i="29"/>
  <c r="J17" i="29"/>
  <c r="F17" i="29"/>
  <c r="J16" i="29"/>
  <c r="F16" i="29"/>
  <c r="J15" i="29"/>
  <c r="F15" i="29"/>
  <c r="J14" i="29"/>
  <c r="F14" i="29"/>
  <c r="J13" i="29"/>
  <c r="F13" i="29"/>
  <c r="P12" i="29"/>
  <c r="O12" i="29"/>
  <c r="J12" i="29"/>
  <c r="F12" i="29"/>
  <c r="S9" i="29"/>
  <c r="R9" i="29"/>
  <c r="J9" i="29"/>
  <c r="F9" i="29"/>
  <c r="J8" i="29"/>
  <c r="F8" i="29"/>
  <c r="J7" i="29"/>
  <c r="F7" i="29"/>
  <c r="P6" i="29"/>
  <c r="O6" i="29"/>
  <c r="J6" i="29"/>
  <c r="F6" i="29"/>
  <c r="J5" i="29"/>
  <c r="F5" i="29"/>
  <c r="J4" i="29"/>
  <c r="F4" i="29"/>
  <c r="Q43" i="28"/>
  <c r="P43" i="28"/>
  <c r="T37" i="28"/>
  <c r="T47" i="28" s="1"/>
  <c r="S37" i="28"/>
  <c r="J33" i="28"/>
  <c r="F33" i="28"/>
  <c r="J32" i="28"/>
  <c r="F32" i="28"/>
  <c r="Q31" i="28"/>
  <c r="P31" i="28"/>
  <c r="J31" i="28"/>
  <c r="F31" i="28"/>
  <c r="J30" i="28"/>
  <c r="F30" i="28"/>
  <c r="J29" i="28"/>
  <c r="F29" i="28"/>
  <c r="J28" i="28"/>
  <c r="F28" i="28"/>
  <c r="J25" i="28"/>
  <c r="F25" i="28"/>
  <c r="J24" i="28"/>
  <c r="F24" i="28"/>
  <c r="J23" i="28"/>
  <c r="F23" i="28"/>
  <c r="J22" i="28"/>
  <c r="F22" i="28"/>
  <c r="J21" i="28"/>
  <c r="F21" i="28"/>
  <c r="J20" i="28"/>
  <c r="F20" i="28"/>
  <c r="Q19" i="28"/>
  <c r="P19" i="28"/>
  <c r="J17" i="28"/>
  <c r="F17" i="28"/>
  <c r="J16" i="28"/>
  <c r="F16" i="28"/>
  <c r="J15" i="28"/>
  <c r="F15" i="28"/>
  <c r="J14" i="28"/>
  <c r="F14" i="28"/>
  <c r="T13" i="28"/>
  <c r="T45" i="28" s="1"/>
  <c r="S13" i="28"/>
  <c r="J13" i="28"/>
  <c r="F13" i="28"/>
  <c r="J12" i="28"/>
  <c r="F12" i="28"/>
  <c r="J9" i="28"/>
  <c r="F9" i="28"/>
  <c r="J8" i="28"/>
  <c r="F8" i="28"/>
  <c r="Q7" i="28"/>
  <c r="P7" i="28"/>
  <c r="J7" i="28"/>
  <c r="F7" i="28"/>
  <c r="J6" i="28"/>
  <c r="F6" i="28"/>
  <c r="J5" i="28"/>
  <c r="F5" i="28"/>
  <c r="J4" i="28"/>
  <c r="F4" i="28"/>
  <c r="S48" i="11"/>
  <c r="S46" i="11"/>
  <c r="S42" i="11"/>
  <c r="S40" i="11"/>
  <c r="S36" i="11"/>
  <c r="S34" i="11"/>
  <c r="S30" i="11"/>
  <c r="S28" i="11"/>
  <c r="S24" i="11"/>
  <c r="S22" i="11"/>
  <c r="S18" i="11"/>
  <c r="S16" i="11"/>
  <c r="S12" i="11"/>
  <c r="S10" i="11"/>
  <c r="S6" i="11"/>
  <c r="S47" i="26"/>
  <c r="S41" i="26"/>
  <c r="S35" i="26"/>
  <c r="S29" i="26"/>
  <c r="S23" i="26"/>
  <c r="S17" i="26"/>
  <c r="S11" i="26"/>
  <c r="S5" i="26"/>
  <c r="V44" i="26"/>
  <c r="U44" i="26"/>
  <c r="Y38" i="26"/>
  <c r="Y48" i="26" s="1"/>
  <c r="X38" i="26"/>
  <c r="O34" i="26"/>
  <c r="K34" i="26"/>
  <c r="O33" i="26"/>
  <c r="K33" i="26"/>
  <c r="I33" i="26"/>
  <c r="H33" i="26"/>
  <c r="V32" i="26"/>
  <c r="U32" i="26"/>
  <c r="O32" i="26"/>
  <c r="K32" i="26"/>
  <c r="I32" i="26"/>
  <c r="H32" i="26"/>
  <c r="O31" i="26"/>
  <c r="K31" i="26"/>
  <c r="I31" i="26"/>
  <c r="H31" i="26"/>
  <c r="O30" i="26"/>
  <c r="K30" i="26"/>
  <c r="I30" i="26"/>
  <c r="H30" i="26"/>
  <c r="O29" i="26"/>
  <c r="K29" i="26"/>
  <c r="O26" i="26"/>
  <c r="K26" i="26"/>
  <c r="O25" i="26"/>
  <c r="K25" i="26"/>
  <c r="I25" i="26"/>
  <c r="H25" i="26"/>
  <c r="O24" i="26"/>
  <c r="K24" i="26"/>
  <c r="I24" i="26"/>
  <c r="H24" i="26"/>
  <c r="O23" i="26"/>
  <c r="K23" i="26"/>
  <c r="I23" i="26"/>
  <c r="H23" i="26"/>
  <c r="O22" i="26"/>
  <c r="K22" i="26"/>
  <c r="I22" i="26"/>
  <c r="H22" i="26"/>
  <c r="O21" i="26"/>
  <c r="K21" i="26"/>
  <c r="V20" i="26"/>
  <c r="U20" i="26"/>
  <c r="O18" i="26"/>
  <c r="K18" i="26"/>
  <c r="O17" i="26"/>
  <c r="K17" i="26"/>
  <c r="I17" i="26"/>
  <c r="H17" i="26"/>
  <c r="O16" i="26"/>
  <c r="K16" i="26"/>
  <c r="I16" i="26"/>
  <c r="H16" i="26"/>
  <c r="O15" i="26"/>
  <c r="K15" i="26"/>
  <c r="I15" i="26"/>
  <c r="H15" i="26"/>
  <c r="Y14" i="26"/>
  <c r="Y46" i="26" s="1"/>
  <c r="X14" i="26"/>
  <c r="O14" i="26"/>
  <c r="K14" i="26"/>
  <c r="I14" i="26"/>
  <c r="H14" i="26"/>
  <c r="O13" i="26"/>
  <c r="K13" i="26"/>
  <c r="O10" i="26"/>
  <c r="K10" i="26"/>
  <c r="O9" i="26"/>
  <c r="K9" i="26"/>
  <c r="I9" i="26"/>
  <c r="H9" i="26"/>
  <c r="V8" i="26"/>
  <c r="U8" i="26"/>
  <c r="O8" i="26"/>
  <c r="K8" i="26"/>
  <c r="I8" i="26"/>
  <c r="H8" i="26"/>
  <c r="O7" i="26"/>
  <c r="K7" i="26"/>
  <c r="I7" i="26"/>
  <c r="H7" i="26"/>
  <c r="O6" i="26"/>
  <c r="K6" i="26"/>
  <c r="I6" i="26"/>
  <c r="H6" i="26"/>
  <c r="O5" i="26"/>
  <c r="K5" i="26"/>
  <c r="S4" i="11"/>
  <c r="Y29" i="25"/>
  <c r="S20" i="25"/>
  <c r="U19" i="25"/>
  <c r="S18" i="25"/>
  <c r="V19" i="25" s="1"/>
  <c r="Y23" i="25" s="1"/>
  <c r="AF5" i="25" s="1"/>
  <c r="X17" i="25"/>
  <c r="V15" i="25"/>
  <c r="Y17" i="25" s="1"/>
  <c r="AF4" i="25" s="1"/>
  <c r="AA13" i="25"/>
  <c r="O12" i="25"/>
  <c r="K12" i="25"/>
  <c r="I12" i="25"/>
  <c r="H12" i="25"/>
  <c r="V11" i="25"/>
  <c r="O11" i="25"/>
  <c r="K11" i="25"/>
  <c r="I11" i="25"/>
  <c r="H11" i="25"/>
  <c r="O10" i="25"/>
  <c r="K10" i="25"/>
  <c r="I10" i="25"/>
  <c r="H10" i="25"/>
  <c r="Y9" i="25"/>
  <c r="AF3" i="25" s="1"/>
  <c r="X9" i="25"/>
  <c r="AF8" i="25"/>
  <c r="S8" i="25"/>
  <c r="Y27" i="25" s="1"/>
  <c r="AF7" i="25"/>
  <c r="U7" i="25"/>
  <c r="O7" i="25"/>
  <c r="K7" i="25"/>
  <c r="I7" i="25"/>
  <c r="H7" i="25"/>
  <c r="S6" i="25"/>
  <c r="V7" i="25" s="1"/>
  <c r="Y21" i="25" s="1"/>
  <c r="AF6" i="25" s="1"/>
  <c r="O6" i="25"/>
  <c r="K6" i="25"/>
  <c r="I6" i="25"/>
  <c r="H6" i="25"/>
  <c r="O5" i="25"/>
  <c r="K5" i="25"/>
  <c r="I5" i="25"/>
  <c r="H5" i="25"/>
  <c r="W8" i="24"/>
  <c r="T8" i="24"/>
  <c r="W6" i="24"/>
  <c r="T6" i="24"/>
  <c r="W4" i="24"/>
  <c r="T4" i="24"/>
  <c r="P10" i="24"/>
  <c r="P9" i="24"/>
  <c r="P8" i="24"/>
  <c r="P7" i="24"/>
  <c r="P6" i="24"/>
  <c r="P5" i="24"/>
  <c r="O10" i="24"/>
  <c r="O9" i="24"/>
  <c r="O8" i="24"/>
  <c r="O7" i="24"/>
  <c r="O6" i="24"/>
  <c r="O5" i="24"/>
  <c r="N10" i="24"/>
  <c r="N8" i="24"/>
  <c r="N9" i="24"/>
  <c r="N7" i="24"/>
  <c r="N6" i="24"/>
  <c r="N5" i="24"/>
  <c r="J23" i="24"/>
  <c r="J22" i="24"/>
  <c r="J21" i="24"/>
  <c r="J20" i="24"/>
  <c r="J19" i="24"/>
  <c r="G23" i="24"/>
  <c r="G22" i="24"/>
  <c r="G21" i="24"/>
  <c r="G20" i="24"/>
  <c r="G19" i="24"/>
  <c r="J16" i="24"/>
  <c r="J15" i="24"/>
  <c r="J14" i="24"/>
  <c r="J13" i="24"/>
  <c r="J12" i="24"/>
  <c r="G16" i="24"/>
  <c r="G15" i="24"/>
  <c r="G14" i="24"/>
  <c r="G13" i="24"/>
  <c r="G12" i="24"/>
  <c r="J9" i="24"/>
  <c r="J8" i="24"/>
  <c r="J7" i="24"/>
  <c r="J6" i="24"/>
  <c r="J5" i="24"/>
  <c r="G9" i="24"/>
  <c r="G8" i="24"/>
  <c r="G7" i="24"/>
  <c r="G6" i="24"/>
  <c r="G5" i="24"/>
  <c r="M21" i="20"/>
  <c r="M22" i="20" s="1"/>
  <c r="M23" i="20" s="1"/>
  <c r="M24" i="20" s="1"/>
  <c r="M25" i="20" s="1"/>
  <c r="M13" i="20"/>
  <c r="M14" i="20" s="1"/>
  <c r="M15" i="20" s="1"/>
  <c r="M16" i="20" s="1"/>
  <c r="M17" i="20" s="1"/>
  <c r="M18" i="20" s="1"/>
  <c r="M5" i="20"/>
  <c r="M6" i="20"/>
  <c r="M7" i="20" s="1"/>
  <c r="M8" i="20" s="1"/>
  <c r="M9" i="20" s="1"/>
  <c r="M10" i="20" s="1"/>
  <c r="I25" i="20"/>
  <c r="I24" i="20"/>
  <c r="I23" i="20"/>
  <c r="I22" i="20"/>
  <c r="I17" i="20"/>
  <c r="I16" i="20"/>
  <c r="I15" i="20"/>
  <c r="I14" i="20"/>
  <c r="I9" i="20"/>
  <c r="I8" i="20"/>
  <c r="I7" i="20"/>
  <c r="I6" i="20"/>
  <c r="AC29" i="20"/>
  <c r="Z25" i="20"/>
  <c r="Y25" i="20"/>
  <c r="AC22" i="20"/>
  <c r="AC31" i="20" s="1"/>
  <c r="AB22" i="20"/>
  <c r="Z19" i="20"/>
  <c r="Y19" i="20"/>
  <c r="AF16" i="20"/>
  <c r="AE16" i="20"/>
  <c r="Z13" i="20"/>
  <c r="Y13" i="20"/>
  <c r="AC10" i="20"/>
  <c r="AB10" i="20"/>
  <c r="Z7" i="20"/>
  <c r="Y7" i="20"/>
  <c r="O26" i="20"/>
  <c r="K26" i="20"/>
  <c r="O25" i="20"/>
  <c r="K25" i="20"/>
  <c r="H25" i="20"/>
  <c r="O24" i="20"/>
  <c r="K24" i="20"/>
  <c r="H24" i="20"/>
  <c r="O23" i="20"/>
  <c r="K23" i="20"/>
  <c r="H23" i="20"/>
  <c r="O22" i="20"/>
  <c r="K22" i="20"/>
  <c r="H22" i="20"/>
  <c r="O21" i="20"/>
  <c r="K21" i="20"/>
  <c r="O18" i="20"/>
  <c r="K18" i="20"/>
  <c r="O17" i="20"/>
  <c r="K17" i="20"/>
  <c r="H17" i="20"/>
  <c r="O16" i="20"/>
  <c r="K16" i="20"/>
  <c r="H16" i="20"/>
  <c r="O15" i="20"/>
  <c r="K15" i="20"/>
  <c r="H15" i="20"/>
  <c r="O14" i="20"/>
  <c r="K14" i="20"/>
  <c r="H14" i="20"/>
  <c r="O13" i="20"/>
  <c r="K13" i="20"/>
  <c r="O10" i="20"/>
  <c r="K10" i="20"/>
  <c r="O9" i="20"/>
  <c r="K9" i="20"/>
  <c r="H9" i="20"/>
  <c r="O8" i="20"/>
  <c r="K8" i="20"/>
  <c r="H8" i="20"/>
  <c r="O7" i="20"/>
  <c r="K7" i="20"/>
  <c r="H7" i="20"/>
  <c r="O6" i="20"/>
  <c r="K6" i="20"/>
  <c r="H6" i="20"/>
  <c r="O5" i="20"/>
  <c r="K5" i="20"/>
  <c r="AD63" i="11"/>
  <c r="AC63" i="11"/>
  <c r="V54" i="11"/>
  <c r="U54" i="11"/>
  <c r="V60" i="11"/>
  <c r="U60" i="11"/>
  <c r="V66" i="11"/>
  <c r="U66" i="11"/>
  <c r="V72" i="11"/>
  <c r="U72" i="11"/>
  <c r="Z69" i="11"/>
  <c r="Y69" i="11"/>
  <c r="Z57" i="11"/>
  <c r="Y57" i="11"/>
  <c r="X44" i="11"/>
  <c r="AD26" i="11"/>
  <c r="U41" i="11"/>
  <c r="U47" i="11"/>
  <c r="AA38" i="11"/>
  <c r="AA14" i="11"/>
  <c r="X8" i="11"/>
  <c r="X20" i="11"/>
  <c r="X32" i="11"/>
  <c r="U35" i="11"/>
  <c r="U29" i="11"/>
  <c r="U23" i="11"/>
  <c r="U17" i="11"/>
  <c r="U11" i="11"/>
  <c r="U5" i="11"/>
  <c r="I30" i="9"/>
  <c r="H30" i="9"/>
  <c r="I29" i="9"/>
  <c r="H29" i="9"/>
  <c r="I28" i="9"/>
  <c r="H28" i="9"/>
  <c r="I27" i="9"/>
  <c r="H27" i="9"/>
  <c r="I26" i="9"/>
  <c r="H26" i="9"/>
  <c r="I25" i="9"/>
  <c r="H25" i="9"/>
  <c r="I13" i="9"/>
  <c r="H13" i="9"/>
  <c r="I12" i="9"/>
  <c r="H12" i="9"/>
  <c r="I11" i="9"/>
  <c r="H11" i="9"/>
  <c r="I10" i="9"/>
  <c r="H10" i="9"/>
  <c r="I9" i="9"/>
  <c r="H9" i="9"/>
  <c r="I8" i="9"/>
  <c r="H8" i="9"/>
  <c r="W28" i="9"/>
  <c r="W22" i="9"/>
  <c r="W16" i="9"/>
  <c r="W10" i="9"/>
  <c r="Z25" i="9"/>
  <c r="Y25" i="9"/>
  <c r="AC19" i="9"/>
  <c r="AB19" i="9"/>
  <c r="Z13" i="9"/>
  <c r="Y13" i="9"/>
  <c r="M21" i="9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4" i="9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O33" i="9"/>
  <c r="O32" i="9"/>
  <c r="K32" i="9"/>
  <c r="K35" i="9"/>
  <c r="K29" i="9"/>
  <c r="O35" i="9"/>
  <c r="O28" i="9"/>
  <c r="K31" i="9"/>
  <c r="O27" i="9"/>
  <c r="K26" i="9"/>
  <c r="O31" i="9"/>
  <c r="O25" i="9"/>
  <c r="K34" i="9"/>
  <c r="O23" i="9"/>
  <c r="K23" i="9"/>
  <c r="O22" i="9"/>
  <c r="K22" i="9"/>
  <c r="K12" i="9"/>
  <c r="O18" i="9"/>
  <c r="O16" i="9"/>
  <c r="K16" i="9"/>
  <c r="O12" i="9"/>
  <c r="O6" i="9"/>
  <c r="AI10" i="11"/>
  <c r="AI9" i="11"/>
  <c r="AE63" i="11"/>
  <c r="AA69" i="11"/>
  <c r="AA57" i="11"/>
  <c r="W66" i="11"/>
  <c r="W60" i="11"/>
  <c r="W54" i="11"/>
  <c r="AE47" i="11"/>
  <c r="AI5" i="11" s="1"/>
  <c r="AE26" i="11"/>
  <c r="AI3" i="11" s="1"/>
  <c r="AI4" i="11" s="1"/>
  <c r="AB38" i="11"/>
  <c r="AB48" i="11" s="1"/>
  <c r="AB14" i="11"/>
  <c r="AB46" i="11" s="1"/>
  <c r="Y44" i="11"/>
  <c r="Y32" i="11"/>
  <c r="Y20" i="11"/>
  <c r="Y8" i="11"/>
  <c r="V41" i="11"/>
  <c r="V35" i="11"/>
  <c r="V29" i="11"/>
  <c r="V23" i="11"/>
  <c r="V17" i="11"/>
  <c r="V11" i="11"/>
  <c r="V5" i="11"/>
  <c r="O34" i="11"/>
  <c r="K34" i="11"/>
  <c r="O33" i="11"/>
  <c r="K33" i="11"/>
  <c r="I33" i="11"/>
  <c r="H33" i="11"/>
  <c r="O32" i="11"/>
  <c r="K32" i="11"/>
  <c r="I32" i="11"/>
  <c r="H32" i="11"/>
  <c r="O31" i="11"/>
  <c r="K31" i="11"/>
  <c r="I31" i="11"/>
  <c r="H31" i="11"/>
  <c r="O30" i="11"/>
  <c r="K30" i="11"/>
  <c r="I30" i="11"/>
  <c r="H30" i="11"/>
  <c r="O29" i="11"/>
  <c r="K29" i="11"/>
  <c r="O26" i="11"/>
  <c r="K26" i="11"/>
  <c r="O25" i="11"/>
  <c r="K25" i="11"/>
  <c r="I25" i="11"/>
  <c r="H25" i="11"/>
  <c r="O24" i="11"/>
  <c r="K24" i="11"/>
  <c r="I24" i="11"/>
  <c r="H24" i="11"/>
  <c r="O23" i="11"/>
  <c r="K23" i="11"/>
  <c r="I23" i="11"/>
  <c r="H23" i="11"/>
  <c r="O22" i="11"/>
  <c r="K22" i="11"/>
  <c r="I22" i="11"/>
  <c r="H22" i="11"/>
  <c r="O21" i="11"/>
  <c r="K21" i="11"/>
  <c r="O18" i="11"/>
  <c r="K18" i="11"/>
  <c r="O17" i="11"/>
  <c r="K17" i="11"/>
  <c r="I17" i="11"/>
  <c r="H17" i="11"/>
  <c r="O16" i="11"/>
  <c r="K16" i="11"/>
  <c r="I16" i="11"/>
  <c r="H16" i="11"/>
  <c r="O15" i="11"/>
  <c r="K15" i="11"/>
  <c r="I15" i="11"/>
  <c r="H15" i="11"/>
  <c r="O14" i="11"/>
  <c r="K14" i="11"/>
  <c r="I14" i="11"/>
  <c r="H14" i="11"/>
  <c r="O13" i="11"/>
  <c r="K13" i="11"/>
  <c r="O10" i="11"/>
  <c r="K10" i="11"/>
  <c r="O9" i="11"/>
  <c r="K9" i="11"/>
  <c r="I9" i="11"/>
  <c r="H9" i="11"/>
  <c r="O8" i="11"/>
  <c r="K8" i="11"/>
  <c r="I8" i="11"/>
  <c r="H8" i="11"/>
  <c r="O7" i="11"/>
  <c r="K7" i="11"/>
  <c r="I7" i="11"/>
  <c r="H7" i="11"/>
  <c r="O6" i="11"/>
  <c r="K6" i="11"/>
  <c r="I6" i="11"/>
  <c r="H6" i="11"/>
  <c r="O5" i="11"/>
  <c r="K5" i="11"/>
  <c r="AF5" i="7"/>
  <c r="AB16" i="7"/>
  <c r="Y22" i="7"/>
  <c r="Y31" i="7" s="1"/>
  <c r="Y10" i="7"/>
  <c r="Y29" i="7" s="1"/>
  <c r="V25" i="7"/>
  <c r="V19" i="7"/>
  <c r="V13" i="7"/>
  <c r="V7" i="7"/>
  <c r="S26" i="7"/>
  <c r="S24" i="7"/>
  <c r="S20" i="7"/>
  <c r="S18" i="7"/>
  <c r="S14" i="7"/>
  <c r="S12" i="7"/>
  <c r="S8" i="7"/>
  <c r="S6" i="7"/>
  <c r="AA16" i="7"/>
  <c r="X10" i="7"/>
  <c r="X22" i="7"/>
  <c r="U25" i="7"/>
  <c r="U19" i="7"/>
  <c r="U13" i="7"/>
  <c r="U7" i="7"/>
  <c r="I17" i="7"/>
  <c r="I16" i="7"/>
  <c r="I15" i="7"/>
  <c r="I14" i="7"/>
  <c r="I9" i="7"/>
  <c r="I8" i="7"/>
  <c r="I7" i="7"/>
  <c r="I6" i="7"/>
  <c r="O18" i="7"/>
  <c r="K18" i="7"/>
  <c r="O17" i="7"/>
  <c r="K17" i="7"/>
  <c r="H17" i="7"/>
  <c r="O16" i="7"/>
  <c r="K16" i="7"/>
  <c r="H16" i="7"/>
  <c r="O15" i="7"/>
  <c r="K15" i="7"/>
  <c r="H15" i="7"/>
  <c r="O14" i="7"/>
  <c r="K14" i="7"/>
  <c r="H14" i="7"/>
  <c r="O13" i="7"/>
  <c r="K13" i="7"/>
  <c r="H9" i="7"/>
  <c r="H8" i="7"/>
  <c r="H7" i="7"/>
  <c r="H6" i="7"/>
  <c r="O9" i="7"/>
  <c r="O8" i="7"/>
  <c r="O6" i="7"/>
  <c r="O10" i="7"/>
  <c r="O7" i="7"/>
  <c r="K6" i="7"/>
  <c r="K10" i="7"/>
  <c r="K8" i="7"/>
  <c r="O5" i="7"/>
  <c r="K9" i="7"/>
  <c r="K7" i="7"/>
  <c r="K5" i="7"/>
  <c r="O12" i="1"/>
  <c r="K12" i="1"/>
  <c r="I12" i="1"/>
  <c r="H12" i="1"/>
  <c r="O11" i="1"/>
  <c r="K11" i="1"/>
  <c r="I11" i="1"/>
  <c r="H11" i="1"/>
  <c r="O10" i="1"/>
  <c r="K10" i="1"/>
  <c r="I10" i="1"/>
  <c r="H10" i="1"/>
  <c r="H7" i="1"/>
  <c r="K7" i="1"/>
  <c r="K6" i="1"/>
  <c r="S20" i="1"/>
  <c r="Y29" i="1" s="1"/>
  <c r="AF7" i="1" s="1"/>
  <c r="S18" i="1"/>
  <c r="V19" i="1" s="1"/>
  <c r="Y23" i="1" s="1"/>
  <c r="AA13" i="1"/>
  <c r="X17" i="1"/>
  <c r="V15" i="1"/>
  <c r="Y17" i="1" s="1"/>
  <c r="U19" i="1"/>
  <c r="V11" i="1"/>
  <c r="Y9" i="1" s="1"/>
  <c r="AF4" i="1" s="1"/>
  <c r="S8" i="1"/>
  <c r="S6" i="1"/>
  <c r="V7" i="1"/>
  <c r="Y21" i="1" s="1"/>
  <c r="AF5" i="1" s="1"/>
  <c r="X9" i="1"/>
  <c r="U7" i="1"/>
  <c r="I5" i="1"/>
  <c r="I7" i="1"/>
  <c r="H6" i="1"/>
  <c r="H5" i="1"/>
  <c r="I6" i="1"/>
  <c r="O6" i="1"/>
  <c r="O7" i="1"/>
  <c r="AE11" i="36" l="1"/>
  <c r="Z21" i="36"/>
  <c r="N29" i="36"/>
  <c r="P16" i="34"/>
  <c r="T14" i="34"/>
  <c r="AB12" i="34" s="1"/>
  <c r="AJ11" i="34" s="1"/>
  <c r="AR14" i="34" s="1"/>
  <c r="AI6" i="11"/>
  <c r="Y27" i="1"/>
  <c r="AF8" i="1" s="1"/>
  <c r="AF6" i="1"/>
  <c r="AB13" i="25"/>
  <c r="M26" i="20"/>
  <c r="K33" i="9"/>
  <c r="O26" i="9"/>
  <c r="O29" i="9"/>
  <c r="K24" i="9"/>
  <c r="K27" i="9"/>
  <c r="K30" i="9"/>
  <c r="O24" i="9"/>
  <c r="O30" i="9"/>
  <c r="O34" i="9"/>
  <c r="K21" i="9"/>
  <c r="K25" i="9"/>
  <c r="K28" i="9"/>
  <c r="O21" i="9"/>
  <c r="K7" i="9"/>
  <c r="O7" i="9"/>
  <c r="K13" i="9"/>
  <c r="O13" i="9"/>
  <c r="K8" i="9"/>
  <c r="K14" i="9"/>
  <c r="O8" i="9"/>
  <c r="O14" i="9"/>
  <c r="K9" i="9"/>
  <c r="K15" i="9"/>
  <c r="O9" i="9"/>
  <c r="O15" i="9"/>
  <c r="K17" i="9"/>
  <c r="K5" i="9"/>
  <c r="O10" i="9"/>
  <c r="O17" i="9"/>
  <c r="K4" i="9"/>
  <c r="K6" i="9"/>
  <c r="K11" i="9"/>
  <c r="K18" i="9"/>
  <c r="K10" i="9"/>
  <c r="O4" i="9"/>
  <c r="O11" i="9"/>
  <c r="O5" i="9"/>
  <c r="AF6" i="7"/>
  <c r="AF4" i="7"/>
  <c r="AF3" i="7"/>
  <c r="AF3" i="1"/>
  <c r="AB13" i="1"/>
  <c r="O5" i="1"/>
  <c r="K5" i="1"/>
  <c r="AF16" i="34" l="1"/>
  <c r="AB10" i="34"/>
  <c r="AF6" i="34"/>
  <c r="W13" i="20"/>
  <c r="W7" i="20"/>
  <c r="AR9" i="34" l="1"/>
  <c r="AJ6" i="34"/>
  <c r="W25" i="20"/>
  <c r="W19" i="20"/>
  <c r="AN9" i="34" l="1"/>
  <c r="Z22" i="20"/>
  <c r="Z10" i="20"/>
  <c r="AC16" i="20" s="1"/>
</calcChain>
</file>

<file path=xl/sharedStrings.xml><?xml version="1.0" encoding="utf-8"?>
<sst xmlns="http://schemas.openxmlformats.org/spreadsheetml/2006/main" count="491" uniqueCount="149">
  <si>
    <t>Equipes</t>
  </si>
  <si>
    <t>Poule A</t>
  </si>
  <si>
    <t>Poule B</t>
  </si>
  <si>
    <t>Score</t>
  </si>
  <si>
    <t>Matchs de la poule A</t>
  </si>
  <si>
    <t>VS</t>
  </si>
  <si>
    <t>Matchs de la poule B</t>
  </si>
  <si>
    <t>Average</t>
  </si>
  <si>
    <t>Pt gagnant</t>
  </si>
  <si>
    <t>Pt égalité</t>
  </si>
  <si>
    <t>Pt perdant</t>
  </si>
  <si>
    <t>Cellule modifiable</t>
  </si>
  <si>
    <t>Classement des poules</t>
  </si>
  <si>
    <t>Finale</t>
  </si>
  <si>
    <t>VAINQUEUR</t>
  </si>
  <si>
    <t>Petite finale</t>
  </si>
  <si>
    <t>1/4 Finale</t>
  </si>
  <si>
    <t>1/2 Finale</t>
  </si>
  <si>
    <t>Minie finale</t>
  </si>
  <si>
    <t>Phase de poules</t>
  </si>
  <si>
    <t>Phase à élimination directe</t>
  </si>
  <si>
    <t>Initialisation</t>
  </si>
  <si>
    <t>Classement final</t>
  </si>
  <si>
    <t>Matchs de la poule C</t>
  </si>
  <si>
    <t>Matchs de la poule D</t>
  </si>
  <si>
    <t>Poule C</t>
  </si>
  <si>
    <t>Poule D</t>
  </si>
  <si>
    <t>Elimination directe</t>
  </si>
  <si>
    <t>Consolante</t>
  </si>
  <si>
    <t>Classement</t>
  </si>
  <si>
    <t>Heure début</t>
  </si>
  <si>
    <t>Équipes</t>
  </si>
  <si>
    <t>Points victoire</t>
  </si>
  <si>
    <t>Points défaite</t>
  </si>
  <si>
    <t>Points égalité</t>
  </si>
  <si>
    <t>Durée match</t>
  </si>
  <si>
    <t>Durée inter</t>
  </si>
  <si>
    <t>Classement poule A</t>
  </si>
  <si>
    <t>Classement poule B</t>
  </si>
  <si>
    <t>Classements des poules</t>
  </si>
  <si>
    <t>Poules</t>
  </si>
  <si>
    <t>A</t>
  </si>
  <si>
    <t>Terrain 1</t>
  </si>
  <si>
    <t>B</t>
  </si>
  <si>
    <t>C</t>
  </si>
  <si>
    <t>D</t>
  </si>
  <si>
    <t>E</t>
  </si>
  <si>
    <t>F</t>
  </si>
  <si>
    <t>Terrain 2</t>
  </si>
  <si>
    <t>Terrain 3</t>
  </si>
  <si>
    <t>Phase de "poule"</t>
  </si>
  <si>
    <t>Scores et classement</t>
  </si>
  <si>
    <t>Match de classement</t>
  </si>
  <si>
    <t>branquignols</t>
  </si>
  <si>
    <t>chacha lovers</t>
  </si>
  <si>
    <t>Charlie kirk</t>
  </si>
  <si>
    <t>lezarabes</t>
  </si>
  <si>
    <t>unijambistes</t>
  </si>
  <si>
    <t>en impro</t>
  </si>
  <si>
    <t>branquignoles</t>
  </si>
  <si>
    <t>chacha lover</t>
  </si>
  <si>
    <t>charlie kirk</t>
  </si>
  <si>
    <t>Classement A</t>
  </si>
  <si>
    <t>Classement B</t>
  </si>
  <si>
    <t>Classement C</t>
  </si>
  <si>
    <t>Classement D</t>
  </si>
  <si>
    <t>1A</t>
  </si>
  <si>
    <t>4D</t>
  </si>
  <si>
    <t>1D</t>
  </si>
  <si>
    <t>1B</t>
  </si>
  <si>
    <t>4C</t>
  </si>
  <si>
    <t>2C</t>
  </si>
  <si>
    <t>2D</t>
  </si>
  <si>
    <t>3A</t>
  </si>
  <si>
    <t>3B</t>
  </si>
  <si>
    <t>2A</t>
  </si>
  <si>
    <t>2B</t>
  </si>
  <si>
    <t>3C</t>
  </si>
  <si>
    <t>3D</t>
  </si>
  <si>
    <t>4A</t>
  </si>
  <si>
    <t>1C</t>
  </si>
  <si>
    <t>4B</t>
  </si>
  <si>
    <t>Perdant des matchs 1&amp;2</t>
  </si>
  <si>
    <t>Perdant des matchs 3&amp;4</t>
  </si>
  <si>
    <t>Perdant des matchs 5&amp;6</t>
  </si>
  <si>
    <t>Perdants des matchs 7&amp;8</t>
  </si>
  <si>
    <t>Classement poule C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</si>
  <si>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</si>
  <si>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</si>
  <si>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</si>
  <si>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</si>
  <si>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</si>
  <si>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</si>
  <si>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</si>
  <si>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</si>
  <si>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</si>
  <si>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</si>
  <si>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</si>
  <si>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</si>
  <si>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</si>
  <si>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</si>
  <si>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</si>
  <si>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</si>
  <si>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Poule E</t>
  </si>
  <si>
    <t>Poule F</t>
  </si>
  <si>
    <t>1E</t>
  </si>
  <si>
    <t>1F</t>
  </si>
  <si>
    <t>Exemple les 3ème qualifiés sons ceux de la poule A, B, C et D</t>
  </si>
  <si>
    <t>Il faut mettre les premiers des poules E et F contre des troisièmes car ils ont</t>
  </si>
  <si>
    <t>suffisament détruit leurs adversaires pour qu'ils ne soient pas qualifiés</t>
  </si>
  <si>
    <t>Matchs</t>
  </si>
  <si>
    <t>2F</t>
  </si>
  <si>
    <t>2E</t>
  </si>
  <si>
    <t xml:space="preserve">Si c'est pas eux les troisièmes qualifiés, renomme les poules pour te simplifier la vie. </t>
  </si>
  <si>
    <t>Joueurs</t>
  </si>
  <si>
    <t>1V / 0D</t>
  </si>
  <si>
    <t>0V / 1D</t>
  </si>
  <si>
    <t>2V/ 0D</t>
  </si>
  <si>
    <t>0V / 2D</t>
  </si>
  <si>
    <t>1V / 1D</t>
  </si>
  <si>
    <t>1er tour</t>
  </si>
  <si>
    <t>2V / 1D</t>
  </si>
  <si>
    <t>2V / 1D vs 1V / 2D</t>
  </si>
  <si>
    <t>1V / 2D</t>
  </si>
  <si>
    <t>2V / 2D</t>
  </si>
  <si>
    <t>optionnel dépend résultat match 2V/1D vs 1V/2D</t>
  </si>
  <si>
    <t>Valentin</t>
  </si>
  <si>
    <t>Clément</t>
  </si>
  <si>
    <t>Théo</t>
  </si>
  <si>
    <t>Maxime</t>
  </si>
  <si>
    <t>Axel</t>
  </si>
  <si>
    <t>Gabin</t>
  </si>
  <si>
    <t>Kylian</t>
  </si>
  <si>
    <t>Swiss Stage</t>
  </si>
  <si>
    <t>Joueur</t>
  </si>
  <si>
    <t>------------</t>
  </si>
  <si>
    <t>---------------</t>
  </si>
  <si>
    <t>-------------------------------</t>
  </si>
  <si>
    <t>-------</t>
  </si>
  <si>
    <t>-----------------------</t>
  </si>
  <si>
    <t>-----------------</t>
  </si>
  <si>
    <t>--------------</t>
  </si>
  <si>
    <t>---</t>
  </si>
  <si>
    <t>--------</t>
  </si>
  <si>
    <t>GRANDE FINALE</t>
  </si>
  <si>
    <t>ZONE D'ELIMINATION</t>
  </si>
  <si>
    <t>-------------------------------------------------------------------------------------------------------------------</t>
  </si>
  <si>
    <t>TABLEAU A DOUBLE ELIMINATION</t>
  </si>
  <si>
    <t xml:space="preserve">Hugo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</si>
</sst>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3" borderId="1" xfId="0" applyFill="1" applyBorder="1"/>
    <xf numFmtId="0" fontId="0" fillId="3" borderId="4" xfId="0" applyFill="1" applyBorder="1"/>
    <xf numFmtId="0" fontId="1" fillId="3" borderId="0" xfId="0" applyFont="1" applyFill="1"/>
    <xf numFmtId="0" fontId="3" fillId="2" borderId="0" xfId="0" applyFont="1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3" borderId="21" xfId="0" applyFill="1" applyBorder="1"/>
    <xf numFmtId="0" fontId="0" fillId="3" borderId="22" xfId="0" applyFill="1" applyBorder="1"/>
    <xf numFmtId="0" fontId="0" fillId="2" borderId="20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4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3" borderId="13" xfId="0" applyFill="1" applyBorder="1"/>
    <xf numFmtId="0" fontId="0" fillId="2" borderId="29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19" xfId="0" applyFill="1" applyBorder="1"/>
    <xf numFmtId="0" fontId="0" fillId="2" borderId="15" xfId="0" applyFill="1" applyBorder="1"/>
    <xf numFmtId="0" fontId="0" fillId="2" borderId="17" xfId="0" applyFill="1" applyBorder="1"/>
    <xf numFmtId="0" fontId="0" fillId="3" borderId="33" xfId="0" applyFill="1" applyBorder="1"/>
    <xf numFmtId="0" fontId="0" fillId="2" borderId="7" xfId="0" applyFill="1" applyBorder="1"/>
    <xf numFmtId="0" fontId="0" fillId="2" borderId="1" xfId="0" applyFill="1" applyBorder="1" applyAlignment="1">
      <alignment horizontal="right"/>
    </xf>
    <xf numFmtId="0" fontId="0" fillId="2" borderId="34" xfId="0" applyFill="1" applyBorder="1"/>
    <xf numFmtId="0" fontId="0" fillId="2" borderId="35" xfId="0" applyFill="1" applyBorder="1"/>
    <xf numFmtId="0" fontId="0" fillId="2" borderId="36" xfId="0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2" borderId="39" xfId="0" applyFill="1" applyBorder="1" applyAlignment="1">
      <alignment horizontal="right"/>
    </xf>
    <xf numFmtId="0" fontId="0" fillId="2" borderId="39" xfId="0" applyFill="1" applyBorder="1" applyAlignment="1">
      <alignment horizontal="left"/>
    </xf>
    <xf numFmtId="0" fontId="0" fillId="2" borderId="41" xfId="0" applyFill="1" applyBorder="1" applyAlignment="1">
      <alignment horizontal="right"/>
    </xf>
    <xf numFmtId="0" fontId="0" fillId="2" borderId="42" xfId="0" applyFill="1" applyBorder="1"/>
    <xf numFmtId="0" fontId="0" fillId="2" borderId="43" xfId="0" applyFill="1" applyBorder="1"/>
    <xf numFmtId="0" fontId="0" fillId="2" borderId="38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/>
    <xf numFmtId="0" fontId="0" fillId="2" borderId="42" xfId="0" applyFill="1" applyBorder="1" applyAlignment="1">
      <alignment horizontal="center" vertical="center"/>
    </xf>
    <xf numFmtId="0" fontId="0" fillId="2" borderId="10" xfId="0" applyFill="1" applyBorder="1"/>
    <xf numFmtId="0" fontId="0" fillId="2" borderId="12" xfId="0" applyFill="1" applyBorder="1"/>
    <xf numFmtId="0" fontId="0" fillId="2" borderId="18" xfId="0" applyFill="1" applyBorder="1"/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3" borderId="20" xfId="0" applyFill="1" applyBorder="1"/>
    <xf numFmtId="0" fontId="0" fillId="2" borderId="16" xfId="0" applyFill="1" applyBorder="1"/>
    <xf numFmtId="0" fontId="0" fillId="2" borderId="36" xfId="0" applyFill="1" applyBorder="1" applyAlignment="1">
      <alignment horizontal="right"/>
    </xf>
    <xf numFmtId="0" fontId="0" fillId="2" borderId="37" xfId="0" applyFill="1" applyBorder="1" applyAlignment="1">
      <alignment horizontal="center"/>
    </xf>
    <xf numFmtId="0" fontId="0" fillId="2" borderId="48" xfId="0" applyFill="1" applyBorder="1"/>
    <xf numFmtId="0" fontId="0" fillId="2" borderId="21" xfId="0" applyFill="1" applyBorder="1"/>
    <xf numFmtId="0" fontId="0" fillId="2" borderId="1" xfId="0" applyFill="1" applyBorder="1"/>
    <xf numFmtId="0" fontId="0" fillId="2" borderId="22" xfId="0" applyFill="1" applyBorder="1"/>
    <xf numFmtId="0" fontId="0" fillId="2" borderId="20" xfId="0" applyFill="1" applyBorder="1"/>
    <xf numFmtId="0" fontId="0" fillId="2" borderId="54" xfId="0" applyFill="1" applyBorder="1"/>
    <xf numFmtId="0" fontId="0" fillId="3" borderId="55" xfId="0" applyFill="1" applyBorder="1"/>
    <xf numFmtId="0" fontId="0" fillId="2" borderId="56" xfId="0" applyFill="1" applyBorder="1"/>
    <xf numFmtId="0" fontId="0" fillId="2" borderId="9" xfId="0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0" fontId="0" fillId="2" borderId="7" xfId="0" applyFill="1" applyBorder="1" applyAlignment="1">
      <alignment horizontal="center"/>
    </xf>
    <xf numFmtId="0" fontId="0" fillId="2" borderId="51" xfId="0" applyFill="1" applyBorder="1"/>
    <xf numFmtId="0" fontId="0" fillId="2" borderId="53" xfId="0" applyFill="1" applyBorder="1"/>
    <xf numFmtId="0" fontId="0" fillId="2" borderId="42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164" fontId="0" fillId="4" borderId="22" xfId="0" applyNumberFormat="1" applyFill="1" applyBorder="1" applyAlignment="1">
      <alignment horizontal="center"/>
    </xf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164" fontId="0" fillId="2" borderId="55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0" fillId="2" borderId="37" xfId="0" applyFill="1" applyBorder="1" applyAlignment="1">
      <alignment horizontal="right"/>
    </xf>
    <xf numFmtId="0" fontId="0" fillId="2" borderId="42" xfId="0" applyFill="1" applyBorder="1" applyAlignment="1">
      <alignment horizontal="right"/>
    </xf>
    <xf numFmtId="0" fontId="0" fillId="4" borderId="55" xfId="0" applyFill="1" applyBorder="1"/>
    <xf numFmtId="0" fontId="0" fillId="4" borderId="1" xfId="0" applyFill="1" applyBorder="1"/>
    <xf numFmtId="0" fontId="0" fillId="4" borderId="13" xfId="0" applyFill="1" applyBorder="1"/>
    <xf numFmtId="0" fontId="0" fillId="6" borderId="21" xfId="0" applyFill="1" applyBorder="1"/>
    <xf numFmtId="0" fontId="0" fillId="6" borderId="22" xfId="0" applyFill="1" applyBorder="1"/>
    <xf numFmtId="0" fontId="0" fillId="5" borderId="20" xfId="0" applyFill="1" applyBorder="1"/>
    <xf numFmtId="0" fontId="0" fillId="5" borderId="22" xfId="0" applyFill="1" applyBorder="1"/>
    <xf numFmtId="0" fontId="0" fillId="6" borderId="20" xfId="0" applyFill="1" applyBorder="1"/>
    <xf numFmtId="0" fontId="0" fillId="2" borderId="59" xfId="0" applyFill="1" applyBorder="1"/>
    <xf numFmtId="0" fontId="0" fillId="2" borderId="61" xfId="0" applyFill="1" applyBorder="1"/>
    <xf numFmtId="0" fontId="0" fillId="2" borderId="60" xfId="0" applyFill="1" applyBorder="1"/>
    <xf numFmtId="0" fontId="0" fillId="2" borderId="62" xfId="0" applyFill="1" applyBorder="1"/>
    <xf numFmtId="0" fontId="0" fillId="5" borderId="21" xfId="0" applyFill="1" applyBorder="1"/>
    <xf numFmtId="0" fontId="0" fillId="5" borderId="33" xfId="0" applyFill="1" applyBorder="1"/>
    <xf numFmtId="164" fontId="0" fillId="2" borderId="55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0" fillId="2" borderId="13" xfId="0" applyNumberFormat="1" applyFill="1" applyBorder="1" applyAlignment="1">
      <alignment vertical="center"/>
    </xf>
    <xf numFmtId="0" fontId="0" fillId="2" borderId="64" xfId="0" applyFill="1" applyBorder="1"/>
    <xf numFmtId="0" fontId="0" fillId="3" borderId="16" xfId="0" applyFill="1" applyBorder="1"/>
    <xf numFmtId="0" fontId="0" fillId="2" borderId="5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/>
    </xf>
    <xf numFmtId="0" fontId="4" fillId="3" borderId="21" xfId="0" applyFont="1" applyFill="1" applyBorder="1"/>
    <xf numFmtId="0" fontId="4" fillId="3" borderId="22" xfId="0" applyFont="1" applyFill="1" applyBorder="1"/>
    <xf numFmtId="0" fontId="0" fillId="2" borderId="36" xfId="0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8" borderId="33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55" xfId="0" applyFill="1" applyBorder="1"/>
    <xf numFmtId="0" fontId="0" fillId="8" borderId="1" xfId="0" applyFill="1" applyBorder="1"/>
    <xf numFmtId="0" fontId="0" fillId="8" borderId="13" xfId="0" applyFill="1" applyBorder="1"/>
    <xf numFmtId="0" fontId="0" fillId="8" borderId="4" xfId="0" applyFill="1" applyBorder="1"/>
    <xf numFmtId="0" fontId="0" fillId="2" borderId="65" xfId="0" applyFill="1" applyBorder="1"/>
    <xf numFmtId="0" fontId="0" fillId="2" borderId="66" xfId="0" applyFill="1" applyBorder="1"/>
    <xf numFmtId="0" fontId="0" fillId="2" borderId="67" xfId="0" applyFill="1" applyBorder="1"/>
    <xf numFmtId="0" fontId="1" fillId="2" borderId="58" xfId="0" applyFont="1" applyFill="1" applyBorder="1"/>
    <xf numFmtId="0" fontId="0" fillId="2" borderId="58" xfId="0" applyFill="1" applyBorder="1"/>
    <xf numFmtId="0" fontId="0" fillId="2" borderId="68" xfId="0" applyFill="1" applyBorder="1"/>
    <xf numFmtId="0" fontId="0" fillId="2" borderId="69" xfId="0" applyFill="1" applyBorder="1"/>
    <xf numFmtId="0" fontId="0" fillId="2" borderId="70" xfId="0" applyFill="1" applyBorder="1"/>
    <xf numFmtId="0" fontId="0" fillId="2" borderId="50" xfId="0" applyFill="1" applyBorder="1"/>
    <xf numFmtId="16" fontId="0" fillId="2" borderId="58" xfId="0" applyNumberFormat="1" applyFill="1" applyBorder="1" applyAlignment="1">
      <alignment horizontal="center"/>
    </xf>
    <xf numFmtId="0" fontId="0" fillId="2" borderId="58" xfId="0" applyFill="1" applyBorder="1" applyAlignment="1">
      <alignment horizontal="right"/>
    </xf>
    <xf numFmtId="0" fontId="0" fillId="2" borderId="17" xfId="0" applyFill="1" applyBorder="1" applyAlignment="1">
      <alignment horizontal="right"/>
    </xf>
    <xf numFmtId="0" fontId="0" fillId="2" borderId="50" xfId="0" applyFill="1" applyBorder="1" applyAlignment="1">
      <alignment horizontal="right"/>
    </xf>
    <xf numFmtId="16" fontId="0" fillId="2" borderId="58" xfId="0" applyNumberFormat="1" applyFill="1" applyBorder="1" applyAlignment="1">
      <alignment horizontal="right"/>
    </xf>
    <xf numFmtId="0" fontId="0" fillId="2" borderId="39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59" xfId="0" quotePrefix="1" applyFill="1" applyBorder="1"/>
    <xf numFmtId="0" fontId="0" fillId="2" borderId="0" xfId="0" quotePrefix="1" applyFill="1"/>
    <xf numFmtId="0" fontId="0" fillId="2" borderId="71" xfId="0" applyFill="1" applyBorder="1"/>
    <xf numFmtId="0" fontId="0" fillId="2" borderId="71" xfId="0" quotePrefix="1" applyFill="1" applyBorder="1"/>
    <xf numFmtId="0" fontId="0" fillId="2" borderId="39" xfId="0" quotePrefix="1" applyFill="1" applyBorder="1"/>
    <xf numFmtId="0" fontId="5" fillId="3" borderId="17" xfId="0" applyFont="1" applyFill="1" applyBorder="1"/>
    <xf numFmtId="0" fontId="0" fillId="2" borderId="72" xfId="0" applyFill="1" applyBorder="1"/>
    <xf numFmtId="0" fontId="0" fillId="2" borderId="72" xfId="0" quotePrefix="1" applyFill="1" applyBorder="1"/>
    <xf numFmtId="0" fontId="0" fillId="2" borderId="42" xfId="0" quotePrefix="1" applyFill="1" applyBorder="1"/>
    <xf numFmtId="0" fontId="5" fillId="2" borderId="42" xfId="0" applyFont="1" applyFill="1" applyBorder="1"/>
    <xf numFmtId="0" fontId="5" fillId="3" borderId="46" xfId="0" applyFont="1" applyFill="1" applyBorder="1"/>
    <xf numFmtId="0" fontId="0" fillId="2" borderId="44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2" xfId="0" applyFill="1" applyBorder="1" applyAlignment="1">
      <alignment horizontal="left"/>
    </xf>
    <xf numFmtId="0" fontId="0" fillId="2" borderId="50" xfId="0" applyFill="1" applyBorder="1" applyAlignment="1">
      <alignment horizontal="center"/>
    </xf>
    <xf numFmtId="0" fontId="0" fillId="2" borderId="0" xfId="0" applyFill="1" applyAlignment="1">
      <alignment horizontal="left"/>
    </xf>
    <xf numFmtId="16" fontId="0" fillId="2" borderId="50" xfId="0" applyNumberForma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2" borderId="5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59" xfId="0" quotePrefix="1" applyFill="1" applyBorder="1" applyAlignment="1">
      <alignment horizontal="center"/>
    </xf>
    <xf numFmtId="0" fontId="0" fillId="2" borderId="0" xfId="0" quotePrefix="1" applyFill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55" xfId="0" applyFill="1" applyBorder="1" applyAlignment="1">
      <alignment horizontal="center" vertical="center"/>
    </xf>
    <xf numFmtId="164" fontId="0" fillId="2" borderId="51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2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9C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C5AE-914A-47DE-BF38-62F0CCE51E83}">
  <sheetPr>
    <tabColor theme="6" tint="0.79998168889431442"/>
  </sheetPr>
  <dimension ref="B1:AF34"/>
  <sheetViews>
    <sheetView workbookViewId="0">
      <selection activeCell="P27" sqref="P27"/>
    </sheetView>
  </sheetViews>
  <sheetFormatPr defaultColWidth="11.42578125" defaultRowHeight="15" x14ac:dyDescent="0.25"/>
  <cols>
    <col min="1" max="1" width="2.7109375" style="1" customWidth="1"/>
    <col min="2" max="2" width="5.7109375" style="1" customWidth="1"/>
    <col min="3" max="3" width="13.28515625" style="1" bestFit="1" customWidth="1"/>
    <col min="4" max="4" width="5.7109375" style="1" customWidth="1"/>
    <col min="5" max="5" width="2.7109375" style="1" customWidth="1"/>
    <col min="6" max="6" width="5.7109375" style="1" customWidth="1"/>
    <col min="7" max="9" width="11.42578125" style="1"/>
    <col min="10" max="10" width="2.7109375" style="1" customWidth="1"/>
    <col min="11" max="11" width="11.42578125" style="1" customWidth="1"/>
    <col min="12" max="12" width="5.7109375" style="1" customWidth="1"/>
    <col min="13" max="13" width="3.85546875" style="3" customWidth="1"/>
    <col min="14" max="14" width="5.7109375" style="1" customWidth="1"/>
    <col min="15" max="15" width="11.42578125" style="1"/>
    <col min="16" max="16" width="5.7109375" style="1" customWidth="1"/>
    <col min="17" max="17" width="2.7109375" style="9" customWidth="1"/>
    <col min="18" max="18" width="5.7109375" style="9" customWidth="1"/>
    <col min="19" max="28" width="11.42578125" style="1"/>
    <col min="29" max="29" width="5.7109375" style="1" customWidth="1"/>
    <col min="30" max="30" width="2.7109375" style="1" customWidth="1"/>
    <col min="31" max="31" width="3.7109375" style="1" customWidth="1"/>
    <col min="32" max="32" width="15.7109375" style="1" customWidth="1"/>
    <col min="33" max="16384" width="11.42578125" style="1"/>
  </cols>
  <sheetData>
    <row r="1" spans="2:32" ht="15.75" thickBot="1" x14ac:dyDescent="0.3"/>
    <row r="2" spans="2:32" ht="15.75" thickBot="1" x14ac:dyDescent="0.3">
      <c r="B2" s="150" t="s">
        <v>21</v>
      </c>
      <c r="C2" s="151"/>
      <c r="D2" s="152"/>
      <c r="F2" s="150" t="s">
        <v>19</v>
      </c>
      <c r="G2" s="151"/>
      <c r="H2" s="151"/>
      <c r="I2" s="151"/>
      <c r="J2" s="151"/>
      <c r="K2" s="151"/>
      <c r="L2" s="151"/>
      <c r="M2" s="151"/>
      <c r="N2" s="151"/>
      <c r="O2" s="151"/>
      <c r="P2" s="152"/>
      <c r="Q2" s="1"/>
      <c r="R2" s="150" t="s">
        <v>20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2"/>
      <c r="AE2" s="160" t="s">
        <v>22</v>
      </c>
      <c r="AF2" s="162"/>
    </row>
    <row r="3" spans="2:32" ht="15.75" thickBot="1" x14ac:dyDescent="0.3">
      <c r="B3" s="37"/>
      <c r="C3" s="38"/>
      <c r="D3" s="39"/>
      <c r="F3" s="37"/>
      <c r="G3" s="38"/>
      <c r="H3" s="38"/>
      <c r="I3" s="38"/>
      <c r="J3" s="38"/>
      <c r="K3" s="38"/>
      <c r="L3" s="38"/>
      <c r="M3" s="38"/>
      <c r="N3" s="38"/>
      <c r="O3" s="38"/>
      <c r="P3" s="47"/>
      <c r="Q3" s="1"/>
      <c r="R3" s="37"/>
      <c r="S3" s="38"/>
      <c r="T3" s="38"/>
      <c r="U3" s="38"/>
      <c r="V3" s="38"/>
      <c r="W3" s="38"/>
      <c r="X3" s="38"/>
      <c r="Y3" s="38"/>
      <c r="Z3" s="38"/>
      <c r="AA3" s="38"/>
      <c r="AB3" s="38"/>
      <c r="AC3" s="39"/>
      <c r="AE3" s="14">
        <v>1</v>
      </c>
      <c r="AF3" s="21" t="str">
        <f>IF(Z9="","",IF(Z9&gt;Z17,Y9,Y17))</f>
        <v/>
      </c>
    </row>
    <row r="4" spans="2:32" ht="15.75" thickBot="1" x14ac:dyDescent="0.3">
      <c r="B4" s="40"/>
      <c r="C4" s="33" t="s">
        <v>0</v>
      </c>
      <c r="D4" s="41"/>
      <c r="F4" s="40"/>
      <c r="G4" s="33" t="s">
        <v>1</v>
      </c>
      <c r="H4" s="30" t="s">
        <v>3</v>
      </c>
      <c r="I4" s="31" t="s">
        <v>7</v>
      </c>
      <c r="K4" s="160" t="s">
        <v>4</v>
      </c>
      <c r="L4" s="161"/>
      <c r="M4" s="161"/>
      <c r="N4" s="161"/>
      <c r="O4" s="162"/>
      <c r="P4" s="41"/>
      <c r="Q4" s="1"/>
      <c r="R4" s="40"/>
      <c r="S4" s="172" t="s">
        <v>16</v>
      </c>
      <c r="T4" s="172"/>
      <c r="AC4" s="41"/>
      <c r="AE4" s="54">
        <v>2</v>
      </c>
      <c r="AF4" s="23" t="str">
        <f>IF(Z9="","",IF(Z9&lt;Z17,Y9,Y17))</f>
        <v/>
      </c>
    </row>
    <row r="5" spans="2:32" x14ac:dyDescent="0.25">
      <c r="B5" s="40"/>
      <c r="C5" s="32"/>
      <c r="D5" s="41"/>
      <c r="F5" s="40"/>
      <c r="G5" s="32"/>
      <c r="H5" s="4">
        <f>(IF(L5&gt;N5,$C$13,IF(L5&lt;N5,$C$19,$C$16)))+(IF(L6&gt;N6,$C$13,IF(L6&lt;N6,$C$19,$C$16)))</f>
        <v>2</v>
      </c>
      <c r="I5" s="29">
        <f>SUM(L5,L6)</f>
        <v>0</v>
      </c>
      <c r="K5" s="20">
        <f>G5</f>
        <v>0</v>
      </c>
      <c r="L5" s="6"/>
      <c r="M5" s="169" t="s">
        <v>5</v>
      </c>
      <c r="N5" s="6"/>
      <c r="O5" s="21">
        <f>G6</f>
        <v>0</v>
      </c>
      <c r="P5" s="41"/>
      <c r="R5" s="42"/>
      <c r="S5" s="11" t="s">
        <v>0</v>
      </c>
      <c r="T5" s="11" t="s">
        <v>3</v>
      </c>
      <c r="AC5" s="41"/>
      <c r="AE5" s="54">
        <v>3</v>
      </c>
      <c r="AF5" s="23" t="str">
        <f>IF(Z21="","",IF(Z21&gt;Z23,Y21,Y23))</f>
        <v/>
      </c>
    </row>
    <row r="6" spans="2:32" x14ac:dyDescent="0.25">
      <c r="B6" s="40"/>
      <c r="C6" s="12"/>
      <c r="D6" s="41"/>
      <c r="F6" s="40"/>
      <c r="G6" s="12"/>
      <c r="H6" s="2">
        <f>IF(L5&gt;N5,$C$19,IF(L5&lt;N5,$C$13,$C$16))+IF(L7&gt;N7,$C$13,IF(L7&lt;N7,$C$19,$C$16))</f>
        <v>2</v>
      </c>
      <c r="I6" s="18">
        <f>SUM(N5,L7)</f>
        <v>0</v>
      </c>
      <c r="K6" s="22">
        <f>G5</f>
        <v>0</v>
      </c>
      <c r="L6" s="5"/>
      <c r="M6" s="170"/>
      <c r="N6" s="5"/>
      <c r="O6" s="23">
        <f>G7</f>
        <v>0</v>
      </c>
      <c r="P6" s="41"/>
      <c r="R6" s="42"/>
      <c r="S6" s="34" t="str">
        <f>IF(I18="","",I18)</f>
        <v/>
      </c>
      <c r="T6" s="5"/>
      <c r="V6" s="154" t="s">
        <v>17</v>
      </c>
      <c r="W6" s="154"/>
      <c r="AC6" s="41"/>
      <c r="AE6" s="54">
        <v>4</v>
      </c>
      <c r="AF6" s="23" t="str">
        <f>IF(Z21="","",IF(Z21&lt;Z23,Y21,Y23))</f>
        <v/>
      </c>
    </row>
    <row r="7" spans="2:32" ht="15.75" thickBot="1" x14ac:dyDescent="0.3">
      <c r="B7" s="40"/>
      <c r="C7" s="12"/>
      <c r="D7" s="41"/>
      <c r="F7" s="40"/>
      <c r="G7" s="13"/>
      <c r="H7" s="28">
        <f>(IF(L6&gt;N6,$C$19,IF(L6&lt;N6,$C$13,$C$16)))+(IF(L7&gt;N7,$C$19,IF(L7&lt;N7,$C$13,$C$16)))</f>
        <v>2</v>
      </c>
      <c r="I7" s="19">
        <f>SUM(N6,N7)</f>
        <v>0</v>
      </c>
      <c r="K7" s="24">
        <f>G6</f>
        <v>0</v>
      </c>
      <c r="L7" s="25"/>
      <c r="M7" s="171"/>
      <c r="N7" s="25"/>
      <c r="O7" s="26">
        <f>G7</f>
        <v>0</v>
      </c>
      <c r="P7" s="41"/>
      <c r="Q7" s="10"/>
      <c r="R7" s="43"/>
      <c r="S7" s="9"/>
      <c r="U7" s="35" t="str">
        <f>"------------------"</f>
        <v>------------------</v>
      </c>
      <c r="V7" s="34" t="str">
        <f>IF(T6=0,"",IF(T6&gt;T8,S6,S8))</f>
        <v/>
      </c>
      <c r="W7" s="5"/>
      <c r="AC7" s="41"/>
      <c r="AE7" s="54">
        <v>5</v>
      </c>
      <c r="AF7" s="23" t="str">
        <f>IF(Z27="","",IF(Z27&gt;Z29,Y27,Y29))</f>
        <v/>
      </c>
    </row>
    <row r="8" spans="2:32" ht="15.75" thickBot="1" x14ac:dyDescent="0.3">
      <c r="B8" s="40"/>
      <c r="C8" s="12"/>
      <c r="D8" s="41"/>
      <c r="F8" s="40"/>
      <c r="P8" s="48"/>
      <c r="R8" s="42"/>
      <c r="S8" s="34" t="str">
        <f>IF(I23="","",I23)</f>
        <v/>
      </c>
      <c r="T8" s="5"/>
      <c r="X8" s="35"/>
      <c r="Y8" s="154" t="s">
        <v>13</v>
      </c>
      <c r="Z8" s="154"/>
      <c r="AC8" s="41"/>
      <c r="AE8" s="55">
        <v>6</v>
      </c>
      <c r="AF8" s="26" t="str">
        <f>IF(Z27="","",IF(Z27&lt;Z29,Y27,Y29))</f>
        <v/>
      </c>
    </row>
    <row r="9" spans="2:32" ht="15.75" thickBot="1" x14ac:dyDescent="0.3">
      <c r="B9" s="40"/>
      <c r="C9" s="12"/>
      <c r="D9" s="41"/>
      <c r="F9" s="40"/>
      <c r="G9" s="33" t="s">
        <v>2</v>
      </c>
      <c r="H9" s="30" t="s">
        <v>3</v>
      </c>
      <c r="I9" s="31" t="s">
        <v>7</v>
      </c>
      <c r="K9" s="160" t="s">
        <v>6</v>
      </c>
      <c r="L9" s="161"/>
      <c r="M9" s="161"/>
      <c r="N9" s="161"/>
      <c r="O9" s="162"/>
      <c r="P9" s="41"/>
      <c r="R9" s="42"/>
      <c r="X9" s="36" t="str">
        <f>"------------------"</f>
        <v>------------------</v>
      </c>
      <c r="Y9" s="34" t="str">
        <f>IF(W7="","",IF(W7&gt;W11,V7,V11))</f>
        <v/>
      </c>
      <c r="Z9" s="5"/>
      <c r="AC9" s="41"/>
    </row>
    <row r="10" spans="2:32" ht="15.75" thickBot="1" x14ac:dyDescent="0.3">
      <c r="B10" s="40"/>
      <c r="C10" s="13"/>
      <c r="D10" s="41"/>
      <c r="F10" s="40"/>
      <c r="G10" s="12"/>
      <c r="H10" s="27">
        <f>(IF(L10&gt;N10,$C$13,IF(L10&lt;N10,$C$19,$C$16)))+(IF(L11&gt;N11,$C$13,IF(L11&lt;N11,$C$19,$C$16)))</f>
        <v>2</v>
      </c>
      <c r="I10" s="17">
        <f>SUM(L10,L11)</f>
        <v>0</v>
      </c>
      <c r="K10" s="20">
        <f>G10</f>
        <v>0</v>
      </c>
      <c r="L10" s="6"/>
      <c r="M10" s="169" t="s">
        <v>5</v>
      </c>
      <c r="N10" s="6"/>
      <c r="O10" s="21">
        <f>G11</f>
        <v>0</v>
      </c>
      <c r="P10" s="41"/>
      <c r="R10" s="42"/>
      <c r="X10" s="35"/>
      <c r="AA10" s="35"/>
      <c r="AC10" s="41"/>
    </row>
    <row r="11" spans="2:32" ht="15.75" thickBot="1" x14ac:dyDescent="0.3">
      <c r="B11" s="40"/>
      <c r="D11" s="41"/>
      <c r="F11" s="40"/>
      <c r="G11" s="12"/>
      <c r="H11" s="2">
        <f>IF(L10&gt;N10,$C$19,IF(L10&lt;N10,$C$13,$C$16))+IF(L12&gt;N12,$C$13,IF(L12&lt;N12,$C$19,$C$16))</f>
        <v>2</v>
      </c>
      <c r="I11" s="18">
        <f>SUM(N10,L12)</f>
        <v>0</v>
      </c>
      <c r="K11" s="22">
        <f>G10</f>
        <v>0</v>
      </c>
      <c r="L11" s="5"/>
      <c r="M11" s="170"/>
      <c r="N11" s="5"/>
      <c r="O11" s="23">
        <f>G12</f>
        <v>0</v>
      </c>
      <c r="P11" s="41"/>
      <c r="R11" s="42"/>
      <c r="U11" s="9"/>
      <c r="V11" s="34" t="str">
        <f>IF(I21="","",I21)</f>
        <v/>
      </c>
      <c r="W11" s="5"/>
      <c r="AA11" s="35"/>
      <c r="AC11" s="41"/>
    </row>
    <row r="12" spans="2:32" ht="15.75" thickBot="1" x14ac:dyDescent="0.3">
      <c r="B12" s="40"/>
      <c r="C12" s="14" t="s">
        <v>8</v>
      </c>
      <c r="D12" s="48"/>
      <c r="F12" s="40"/>
      <c r="G12" s="12"/>
      <c r="H12" s="28">
        <f>(IF(L11&gt;N11,$C$19,IF(L11&lt;N11,$C$13,$C$16)))+(IF(L12&gt;N12,$C$19,IF(L12&lt;N12,$C$13,$C$16)))</f>
        <v>2</v>
      </c>
      <c r="I12" s="19">
        <f>SUM(N11,N12)</f>
        <v>0</v>
      </c>
      <c r="K12" s="24">
        <f>G11</f>
        <v>0</v>
      </c>
      <c r="L12" s="25"/>
      <c r="M12" s="171"/>
      <c r="N12" s="25"/>
      <c r="O12" s="26">
        <f>G12</f>
        <v>0</v>
      </c>
      <c r="P12" s="41"/>
      <c r="R12" s="42"/>
      <c r="AA12" s="35"/>
      <c r="AB12" s="1" t="s">
        <v>14</v>
      </c>
      <c r="AC12" s="41"/>
    </row>
    <row r="13" spans="2:32" ht="15.75" thickBot="1" x14ac:dyDescent="0.3">
      <c r="B13" s="40"/>
      <c r="C13" s="15">
        <v>2</v>
      </c>
      <c r="D13" s="48"/>
      <c r="F13" s="40"/>
      <c r="P13" s="41"/>
      <c r="R13" s="42"/>
      <c r="AA13" s="35" t="str">
        <f>"------------------"</f>
        <v>------------------</v>
      </c>
      <c r="AB13" s="33" t="str">
        <f>IF(Z9="","",IF(Z9&gt;Z17,Y9,Y17))</f>
        <v/>
      </c>
      <c r="AC13" s="41"/>
    </row>
    <row r="14" spans="2:32" ht="15.75" thickBot="1" x14ac:dyDescent="0.3">
      <c r="B14" s="40"/>
      <c r="C14" s="11"/>
      <c r="D14" s="48"/>
      <c r="F14" s="40"/>
      <c r="P14" s="41"/>
      <c r="R14" s="42"/>
      <c r="AA14" s="35"/>
      <c r="AC14" s="41"/>
    </row>
    <row r="15" spans="2:32" ht="15.75" thickBot="1" x14ac:dyDescent="0.3">
      <c r="B15" s="40"/>
      <c r="C15" s="14" t="s">
        <v>9</v>
      </c>
      <c r="D15" s="48"/>
      <c r="F15" s="40"/>
      <c r="I15" s="150" t="s">
        <v>12</v>
      </c>
      <c r="J15" s="151"/>
      <c r="K15" s="152"/>
      <c r="M15" s="1"/>
      <c r="P15" s="41"/>
      <c r="R15" s="42"/>
      <c r="U15" s="9"/>
      <c r="V15" s="34" t="str">
        <f>IF(I17="","",I17)</f>
        <v/>
      </c>
      <c r="W15" s="5"/>
      <c r="AA15" s="35"/>
      <c r="AC15" s="41"/>
    </row>
    <row r="16" spans="2:32" ht="15.75" thickBot="1" x14ac:dyDescent="0.3">
      <c r="B16" s="40"/>
      <c r="C16" s="15">
        <v>1</v>
      </c>
      <c r="D16" s="48"/>
      <c r="F16" s="40"/>
      <c r="I16" s="150" t="s">
        <v>1</v>
      </c>
      <c r="J16" s="151"/>
      <c r="K16" s="152"/>
      <c r="M16" s="1"/>
      <c r="P16" s="41"/>
      <c r="R16" s="42"/>
      <c r="X16" s="35"/>
      <c r="AA16" s="35"/>
      <c r="AC16" s="41"/>
    </row>
    <row r="17" spans="2:29" ht="15.75" thickBot="1" x14ac:dyDescent="0.3">
      <c r="B17" s="40"/>
      <c r="C17" s="11"/>
      <c r="D17" s="48"/>
      <c r="F17" s="40"/>
      <c r="I17" s="163"/>
      <c r="J17" s="164"/>
      <c r="K17" s="165"/>
      <c r="M17" s="1"/>
      <c r="P17" s="41"/>
      <c r="R17" s="42"/>
      <c r="X17" s="36" t="str">
        <f>"------------------"</f>
        <v>------------------</v>
      </c>
      <c r="Y17" s="34" t="str">
        <f>IF(W15="","",IF(W15&gt;W19,V15,V19))</f>
        <v/>
      </c>
      <c r="Z17" s="5"/>
      <c r="AC17" s="41"/>
    </row>
    <row r="18" spans="2:29" x14ac:dyDescent="0.25">
      <c r="B18" s="40"/>
      <c r="C18" s="14" t="s">
        <v>10</v>
      </c>
      <c r="D18" s="48"/>
      <c r="F18" s="40"/>
      <c r="I18" s="166"/>
      <c r="J18" s="167"/>
      <c r="K18" s="168"/>
      <c r="M18" s="1"/>
      <c r="P18" s="41"/>
      <c r="R18" s="42"/>
      <c r="S18" s="34" t="str">
        <f>IF(I19="","",I19)</f>
        <v/>
      </c>
      <c r="T18" s="5"/>
      <c r="X18" s="35"/>
      <c r="AC18" s="41"/>
    </row>
    <row r="19" spans="2:29" ht="15.75" thickBot="1" x14ac:dyDescent="0.3">
      <c r="B19" s="40"/>
      <c r="C19" s="15">
        <v>0</v>
      </c>
      <c r="D19" s="48"/>
      <c r="F19" s="40"/>
      <c r="I19" s="157"/>
      <c r="J19" s="158"/>
      <c r="K19" s="159"/>
      <c r="M19" s="1"/>
      <c r="P19" s="41"/>
      <c r="R19" s="42"/>
      <c r="U19" s="35" t="str">
        <f>"------------------"</f>
        <v>------------------</v>
      </c>
      <c r="V19" s="34" t="str">
        <f>IF(T18="","",IF(T18&gt;T20,S18,S20))</f>
        <v/>
      </c>
      <c r="W19" s="5"/>
      <c r="AC19" s="41"/>
    </row>
    <row r="20" spans="2:29" ht="15.75" thickBot="1" x14ac:dyDescent="0.3">
      <c r="B20" s="49"/>
      <c r="C20" s="45"/>
      <c r="D20" s="46"/>
      <c r="F20" s="40"/>
      <c r="I20" s="150" t="s">
        <v>2</v>
      </c>
      <c r="J20" s="151"/>
      <c r="K20" s="152"/>
      <c r="P20" s="41"/>
      <c r="R20" s="42"/>
      <c r="S20" s="34" t="str">
        <f>IF(I22="","",I22)</f>
        <v/>
      </c>
      <c r="T20" s="5"/>
      <c r="Y20" s="154" t="s">
        <v>15</v>
      </c>
      <c r="Z20" s="154"/>
      <c r="AC20" s="41"/>
    </row>
    <row r="21" spans="2:29" x14ac:dyDescent="0.25">
      <c r="F21" s="40"/>
      <c r="I21" s="163"/>
      <c r="J21" s="164"/>
      <c r="K21" s="165"/>
      <c r="P21" s="41"/>
      <c r="R21" s="42"/>
      <c r="Y21" s="34" t="str">
        <f>IF(W7="","",IF(W7&lt;W11,V7,V11))</f>
        <v/>
      </c>
      <c r="Z21" s="5"/>
      <c r="AC21" s="41"/>
    </row>
    <row r="22" spans="2:29" x14ac:dyDescent="0.25">
      <c r="F22" s="40"/>
      <c r="I22" s="166"/>
      <c r="J22" s="167"/>
      <c r="K22" s="168"/>
      <c r="P22" s="41"/>
      <c r="R22" s="42"/>
      <c r="AC22" s="41"/>
    </row>
    <row r="23" spans="2:29" ht="15.75" thickBot="1" x14ac:dyDescent="0.3">
      <c r="F23" s="40"/>
      <c r="I23" s="157"/>
      <c r="J23" s="158"/>
      <c r="K23" s="159"/>
      <c r="P23" s="41"/>
      <c r="R23" s="42"/>
      <c r="Y23" s="34" t="str">
        <f>IF(W15="","",IF(W15&lt;W19,V15,V19))</f>
        <v/>
      </c>
      <c r="Z23" s="5"/>
      <c r="AC23" s="41"/>
    </row>
    <row r="24" spans="2:29" ht="15.75" thickBot="1" x14ac:dyDescent="0.3">
      <c r="F24" s="49"/>
      <c r="G24" s="45"/>
      <c r="H24" s="45"/>
      <c r="I24" s="45"/>
      <c r="J24" s="45"/>
      <c r="K24" s="45"/>
      <c r="L24" s="45"/>
      <c r="M24" s="50"/>
      <c r="N24" s="45"/>
      <c r="O24" s="45"/>
      <c r="P24" s="46"/>
      <c r="R24" s="42"/>
      <c r="AC24" s="41"/>
    </row>
    <row r="25" spans="2:29" x14ac:dyDescent="0.25">
      <c r="R25" s="42"/>
      <c r="AC25" s="41"/>
    </row>
    <row r="26" spans="2:29" x14ac:dyDescent="0.25">
      <c r="R26" s="42"/>
      <c r="Y26" s="154" t="s">
        <v>18</v>
      </c>
      <c r="Z26" s="154"/>
      <c r="AC26" s="41"/>
    </row>
    <row r="27" spans="2:29" x14ac:dyDescent="0.25">
      <c r="R27" s="42"/>
      <c r="Y27" s="34" t="str">
        <f>IF(T6="","",IF(T6&lt;T8,S6,S8))</f>
        <v/>
      </c>
      <c r="Z27" s="5"/>
      <c r="AC27" s="41"/>
    </row>
    <row r="28" spans="2:29" x14ac:dyDescent="0.25">
      <c r="R28" s="42"/>
      <c r="AC28" s="41"/>
    </row>
    <row r="29" spans="2:29" x14ac:dyDescent="0.25">
      <c r="R29" s="42"/>
      <c r="Y29" s="34" t="str">
        <f>IF(T18="","",IF(T18&lt;T20,S18,S20))</f>
        <v/>
      </c>
      <c r="Z29" s="5"/>
      <c r="AC29" s="41"/>
    </row>
    <row r="30" spans="2:29" ht="15.75" thickBot="1" x14ac:dyDescent="0.3">
      <c r="R30" s="44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6"/>
    </row>
    <row r="34" spans="3:6" x14ac:dyDescent="0.25">
      <c r="C34" s="7"/>
      <c r="D34" s="8" t="s">
        <v>11</v>
      </c>
      <c r="F34" s="8"/>
    </row>
  </sheetData>
  <sheetProtection selectLockedCells="1"/>
  <protectedRanges>
    <protectedRange algorithmName="SHA-512" hashValue="DFEKZkfjwVaa91rcPUWznniPfdWvpWyZu9h/X6L9ECdOV+PpGmEH1EKuJa6LysfnP5hwlJ+wWn1ZKHji/qoMZA==" saltValue="/iI4DYz0TEGm/Cjtm+aeug==" spinCount="100000" sqref="C5:C10 C13 C16 C19 L5:L7 N5:N7 L10:L12 N10:N12 I17:K19 I21:K23 T6 T8 T18 T20 W7 W11 W15 W19 Z9 Z17 Z21 Z23 Z27 Z29 G10:G12 G5:G7" name="Saissable6"/>
  </protectedRanges>
  <mergeCells count="22">
    <mergeCell ref="AE2:AF2"/>
    <mergeCell ref="Y26:Z26"/>
    <mergeCell ref="Y20:Z20"/>
    <mergeCell ref="S4:T4"/>
    <mergeCell ref="V6:W6"/>
    <mergeCell ref="Y8:Z8"/>
    <mergeCell ref="I23:K23"/>
    <mergeCell ref="F2:P2"/>
    <mergeCell ref="R2:AC2"/>
    <mergeCell ref="B2:D2"/>
    <mergeCell ref="I15:K15"/>
    <mergeCell ref="K9:O9"/>
    <mergeCell ref="I16:K16"/>
    <mergeCell ref="I17:K17"/>
    <mergeCell ref="K4:O4"/>
    <mergeCell ref="I18:K18"/>
    <mergeCell ref="I19:K19"/>
    <mergeCell ref="I20:K20"/>
    <mergeCell ref="I21:K21"/>
    <mergeCell ref="I22:K22"/>
    <mergeCell ref="M5:M7"/>
    <mergeCell ref="M10:M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A89E-8817-4283-BFF8-37B0B49FCC6D}">
  <dimension ref="B1:X34"/>
  <sheetViews>
    <sheetView workbookViewId="0">
      <selection activeCell="Z17" sqref="Z17"/>
    </sheetView>
  </sheetViews>
  <sheetFormatPr defaultColWidth="11.42578125" defaultRowHeight="15" x14ac:dyDescent="0.25"/>
  <cols>
    <col min="1" max="1" width="2.7109375" style="1" customWidth="1"/>
    <col min="2" max="2" width="5.7109375" style="1" customWidth="1"/>
    <col min="3" max="3" width="13.28515625" style="1" bestFit="1" customWidth="1"/>
    <col min="4" max="4" width="5.7109375" style="1" customWidth="1"/>
    <col min="5" max="5" width="2.7109375" style="1" customWidth="1"/>
    <col min="6" max="6" width="5.7109375" style="1" customWidth="1"/>
    <col min="7" max="7" width="11.42578125" style="1"/>
    <col min="8" max="9" width="5.7109375" style="1" customWidth="1"/>
    <col min="10" max="10" width="11.42578125" style="9"/>
    <col min="11" max="11" width="5.7109375" style="1" customWidth="1"/>
    <col min="12" max="12" width="2.7109375" style="1" customWidth="1"/>
    <col min="13" max="13" width="5.7109375" style="1" customWidth="1"/>
    <col min="14" max="16" width="11.42578125" style="1"/>
    <col min="17" max="17" width="5.7109375" style="1" customWidth="1"/>
    <col min="18" max="18" width="2.7109375" style="1" customWidth="1"/>
    <col min="19" max="19" width="5.7109375" style="1" customWidth="1"/>
    <col min="20" max="20" width="11.42578125" style="1"/>
    <col min="21" max="22" width="5.7109375" style="1" customWidth="1"/>
    <col min="23" max="23" width="11.42578125" style="1"/>
    <col min="24" max="24" width="5.7109375" style="1" customWidth="1"/>
    <col min="25" max="16384" width="11.42578125" style="1"/>
  </cols>
  <sheetData>
    <row r="1" spans="2:24" ht="15.75" thickBot="1" x14ac:dyDescent="0.3">
      <c r="J1" s="1"/>
    </row>
    <row r="2" spans="2:24" ht="15.75" thickBot="1" x14ac:dyDescent="0.3">
      <c r="B2" s="150" t="s">
        <v>21</v>
      </c>
      <c r="C2" s="151"/>
      <c r="D2" s="152"/>
      <c r="F2" s="150" t="s">
        <v>50</v>
      </c>
      <c r="G2" s="151"/>
      <c r="H2" s="151"/>
      <c r="I2" s="151"/>
      <c r="J2" s="151"/>
      <c r="K2" s="152"/>
      <c r="M2" s="150" t="s">
        <v>51</v>
      </c>
      <c r="N2" s="151"/>
      <c r="O2" s="151"/>
      <c r="P2" s="151"/>
      <c r="Q2" s="152"/>
      <c r="S2" s="150" t="s">
        <v>52</v>
      </c>
      <c r="T2" s="151"/>
      <c r="U2" s="151"/>
      <c r="V2" s="151"/>
      <c r="W2" s="151"/>
      <c r="X2" s="152"/>
    </row>
    <row r="3" spans="2:24" ht="15.75" thickBot="1" x14ac:dyDescent="0.3">
      <c r="B3" s="37"/>
      <c r="C3" s="38"/>
      <c r="D3" s="39"/>
      <c r="F3" s="40"/>
      <c r="K3" s="41"/>
      <c r="M3" s="40"/>
      <c r="Q3" s="41"/>
      <c r="S3" s="40"/>
      <c r="X3" s="41"/>
    </row>
    <row r="4" spans="2:24" ht="15.75" thickBot="1" x14ac:dyDescent="0.3">
      <c r="B4" s="40"/>
      <c r="C4" s="33" t="s">
        <v>0</v>
      </c>
      <c r="D4" s="41"/>
      <c r="F4" s="40"/>
      <c r="G4" s="173" t="s">
        <v>42</v>
      </c>
      <c r="H4" s="174"/>
      <c r="I4" s="174"/>
      <c r="J4" s="175"/>
      <c r="K4" s="41"/>
      <c r="M4" s="40"/>
      <c r="N4" s="33" t="s">
        <v>0</v>
      </c>
      <c r="O4" s="30" t="s">
        <v>3</v>
      </c>
      <c r="P4" s="31" t="s">
        <v>7</v>
      </c>
      <c r="Q4" s="41"/>
      <c r="S4" s="40"/>
      <c r="T4" s="30">
        <f>O13</f>
        <v>0</v>
      </c>
      <c r="U4" s="105"/>
      <c r="V4" s="105"/>
      <c r="W4" s="31">
        <f>O14</f>
        <v>0</v>
      </c>
      <c r="X4" s="41"/>
    </row>
    <row r="5" spans="2:24" ht="15.75" thickBot="1" x14ac:dyDescent="0.3">
      <c r="B5" s="40"/>
      <c r="C5" s="32" t="s">
        <v>41</v>
      </c>
      <c r="D5" s="41"/>
      <c r="F5" s="40"/>
      <c r="G5" s="16" t="str">
        <f>C5</f>
        <v>A</v>
      </c>
      <c r="H5" s="67"/>
      <c r="I5" s="67"/>
      <c r="J5" s="69" t="str">
        <f>C6</f>
        <v>B</v>
      </c>
      <c r="K5" s="41"/>
      <c r="M5" s="40"/>
      <c r="N5" s="65" t="str">
        <f t="shared" ref="N5:N10" si="0">C5</f>
        <v>A</v>
      </c>
      <c r="O5" s="27">
        <f>IF(H5&gt;I5,C13,IF(H5=I5,C16,C19))+IF(H6&gt;I6,C13,IF(H6=I6,C16,C19))+IF(H7&gt;I7,C13,IF(H7=I7,C16,C19))+IF(H8&gt;I8,C13,IF(H8=I8,C16,C19))+IF(H9&gt;I9,C13,IF(H9=I9,C16,C19))</f>
        <v>5</v>
      </c>
      <c r="P5" s="17">
        <f>(H5+H6+H7+H8+H9-I5-I6-I7-I8-I9)/5</f>
        <v>0</v>
      </c>
      <c r="Q5" s="41"/>
      <c r="S5" s="40"/>
      <c r="X5" s="41"/>
    </row>
    <row r="6" spans="2:24" ht="15.75" thickBot="1" x14ac:dyDescent="0.3">
      <c r="B6" s="40"/>
      <c r="C6" s="12" t="s">
        <v>43</v>
      </c>
      <c r="D6" s="41"/>
      <c r="F6" s="40"/>
      <c r="G6" s="51" t="str">
        <f>C5</f>
        <v>A</v>
      </c>
      <c r="H6" s="5"/>
      <c r="I6" s="5"/>
      <c r="J6" s="70" t="str">
        <f>C7</f>
        <v>C</v>
      </c>
      <c r="K6" s="41"/>
      <c r="M6" s="40"/>
      <c r="N6" s="62" t="str">
        <f t="shared" si="0"/>
        <v>B</v>
      </c>
      <c r="O6" s="2">
        <f>IF(I5&gt;H5,C13,IF(I5=H5,C16,C19))+IF(H13&gt;I13,C13,IF(H13=I13,C16,C19))+IF(H14&gt;I14,C13,IF(H14=I14,C16,C19))+IF(H16&gt;I16,C13,IF(H16=I16,C16,C19))+IF(H22&gt;I22,C13,IF(H22=I22,C16,C19))</f>
        <v>5</v>
      </c>
      <c r="P6" s="18">
        <f>(I5+H13+H14+H16+H22-I22-I16-I14-I13-H5)/5</f>
        <v>0</v>
      </c>
      <c r="Q6" s="41"/>
      <c r="S6" s="40"/>
      <c r="T6" s="30">
        <f>O15</f>
        <v>0</v>
      </c>
      <c r="U6" s="105"/>
      <c r="V6" s="105"/>
      <c r="W6" s="31">
        <f>O16</f>
        <v>0</v>
      </c>
      <c r="X6" s="41"/>
    </row>
    <row r="7" spans="2:24" ht="15.75" thickBot="1" x14ac:dyDescent="0.3">
      <c r="B7" s="40"/>
      <c r="C7" s="12" t="s">
        <v>44</v>
      </c>
      <c r="D7" s="41"/>
      <c r="F7" s="40"/>
      <c r="G7" s="51" t="str">
        <f>C5</f>
        <v>A</v>
      </c>
      <c r="H7" s="5"/>
      <c r="I7" s="5"/>
      <c r="J7" s="70" t="str">
        <f>C8</f>
        <v>D</v>
      </c>
      <c r="K7" s="41"/>
      <c r="M7" s="40"/>
      <c r="N7" s="62" t="str">
        <f t="shared" si="0"/>
        <v>C</v>
      </c>
      <c r="O7" s="2">
        <f>IF(H12&gt;I12,C13,IF(H12=I12,C16,C19))+IF(I6&gt;H6,C13,IF(I6=H6,C16,C19))+IF(H21&gt;I21,C13,IF(H21=I21,C16,C19))+IF(H15&gt;I15,C13,IF(H15=I15,C16,C19))+IF(I16&gt;H16,C13,IF(H16=I16,C16,C19))</f>
        <v>5</v>
      </c>
      <c r="P7" s="18">
        <f>(I6+H12+H21+I16+H15-I21-H16-I15-I12-H6)/5</f>
        <v>0</v>
      </c>
      <c r="Q7" s="41"/>
      <c r="S7" s="40"/>
      <c r="X7" s="41"/>
    </row>
    <row r="8" spans="2:24" ht="15.75" thickBot="1" x14ac:dyDescent="0.3">
      <c r="B8" s="40"/>
      <c r="C8" s="12" t="s">
        <v>45</v>
      </c>
      <c r="D8" s="41"/>
      <c r="F8" s="40"/>
      <c r="G8" s="51" t="str">
        <f>C5</f>
        <v>A</v>
      </c>
      <c r="H8" s="5"/>
      <c r="I8" s="5"/>
      <c r="J8" s="70" t="str">
        <f>C9</f>
        <v>E</v>
      </c>
      <c r="K8" s="41"/>
      <c r="M8" s="40"/>
      <c r="N8" s="62" t="str">
        <f t="shared" si="0"/>
        <v>D</v>
      </c>
      <c r="O8" s="2">
        <f>IF(I12&gt;H12,C13,IF(I12=H12,C16,C19))+IF(H20&gt;I20,C13,IF(H20=I20,C16,C19))+IF(I7&gt;H7,C13,IF(I7=H7,C16,C19))+IF(I22&gt;H22,C13,IF(I22=H22,C16,C19))+IF(H23&gt;I23,C13,IF(H23=I23,C16,C19))</f>
        <v>5</v>
      </c>
      <c r="P8" s="18">
        <f>(I7+I12+H20+I22+H23-I23-H22-I20-H12-H7)/5</f>
        <v>0</v>
      </c>
      <c r="Q8" s="41"/>
      <c r="S8" s="40"/>
      <c r="T8" s="30">
        <f>O17</f>
        <v>0</v>
      </c>
      <c r="U8" s="105"/>
      <c r="V8" s="105"/>
      <c r="W8" s="31">
        <f>O18</f>
        <v>0</v>
      </c>
      <c r="X8" s="41"/>
    </row>
    <row r="9" spans="2:24" ht="15.75" thickBot="1" x14ac:dyDescent="0.3">
      <c r="B9" s="40"/>
      <c r="C9" s="12" t="s">
        <v>46</v>
      </c>
      <c r="D9" s="41"/>
      <c r="F9" s="40"/>
      <c r="G9" s="52" t="str">
        <f>C5</f>
        <v>A</v>
      </c>
      <c r="H9" s="25"/>
      <c r="I9" s="25"/>
      <c r="J9" s="71" t="str">
        <f>C10</f>
        <v>F</v>
      </c>
      <c r="K9" s="41"/>
      <c r="M9" s="40"/>
      <c r="N9" s="62" t="str">
        <f t="shared" si="0"/>
        <v>E</v>
      </c>
      <c r="O9" s="2">
        <f>IF(H19&gt;I19,C13,IF(H19=I19,C16,C19))+IF(I13&gt;H13,C13,IF(H13=I13,C16,C19))+IF(I21&gt;H21,C13,IF(H21=I21,C16,C19))+IF(I8&gt;H8,C13,IF(H8=I8,C16,C19))+IF(I23&gt;H23,C13,IF(H23=I23,C16,C19))</f>
        <v>5</v>
      </c>
      <c r="P9" s="18">
        <f>(I8+I13+I21+H19+I23-H23-H21-I19-H13-H8)/5</f>
        <v>0</v>
      </c>
      <c r="Q9" s="41"/>
      <c r="S9" s="49"/>
      <c r="T9" s="45"/>
      <c r="U9" s="45"/>
      <c r="V9" s="45"/>
      <c r="W9" s="45"/>
      <c r="X9" s="46"/>
    </row>
    <row r="10" spans="2:24" ht="15.75" thickBot="1" x14ac:dyDescent="0.3">
      <c r="B10" s="40"/>
      <c r="C10" s="13" t="s">
        <v>47</v>
      </c>
      <c r="D10" s="41"/>
      <c r="F10" s="40"/>
      <c r="K10" s="41"/>
      <c r="M10" s="40"/>
      <c r="N10" s="64" t="str">
        <f t="shared" si="0"/>
        <v>F</v>
      </c>
      <c r="O10" s="28">
        <f>IF(I19&gt;H19,C13,IF(I19=H19,C16,C19))+IF(I20&gt;H20,C13,IF(I20=H20,C16,C19))+IF(I14&gt;H14,C13,IF(I14=H14,C16,C19))+IF(I15&gt;H15,C13,IF(I15=H15,C16,C19))+IF(I9&gt;H9,C13,IF(I9=H9,C16,C19))</f>
        <v>5</v>
      </c>
      <c r="P10" s="19">
        <f>(I19+I20+I15+I14+I9-H9-H14-H15-H19-H20)/5</f>
        <v>0</v>
      </c>
      <c r="Q10" s="41"/>
    </row>
    <row r="11" spans="2:24" ht="15.75" thickBot="1" x14ac:dyDescent="0.3">
      <c r="B11" s="40"/>
      <c r="D11" s="41"/>
      <c r="F11" s="40"/>
      <c r="G11" s="173" t="s">
        <v>48</v>
      </c>
      <c r="H11" s="174"/>
      <c r="I11" s="174"/>
      <c r="J11" s="175"/>
      <c r="K11" s="41"/>
      <c r="M11" s="40"/>
      <c r="Q11" s="41"/>
    </row>
    <row r="12" spans="2:24" ht="15.75" thickBot="1" x14ac:dyDescent="0.3">
      <c r="B12" s="40"/>
      <c r="C12" s="14" t="s">
        <v>8</v>
      </c>
      <c r="D12" s="48"/>
      <c r="F12" s="40"/>
      <c r="G12" s="16" t="str">
        <f>C7</f>
        <v>C</v>
      </c>
      <c r="H12" s="67"/>
      <c r="I12" s="67"/>
      <c r="J12" s="69" t="str">
        <f>C8</f>
        <v>D</v>
      </c>
      <c r="K12" s="41"/>
      <c r="M12" s="40"/>
      <c r="O12" s="33" t="s">
        <v>29</v>
      </c>
      <c r="Q12" s="41"/>
    </row>
    <row r="13" spans="2:24" ht="15.75" thickBot="1" x14ac:dyDescent="0.3">
      <c r="B13" s="40"/>
      <c r="C13" s="15">
        <v>2</v>
      </c>
      <c r="D13" s="48"/>
      <c r="F13" s="40"/>
      <c r="G13" s="51" t="str">
        <f>C6</f>
        <v>B</v>
      </c>
      <c r="H13" s="5"/>
      <c r="I13" s="5"/>
      <c r="J13" s="70" t="str">
        <f>C9</f>
        <v>E</v>
      </c>
      <c r="K13" s="41"/>
      <c r="M13" s="40"/>
      <c r="O13" s="57"/>
      <c r="Q13" s="41"/>
    </row>
    <row r="14" spans="2:24" ht="15.75" thickBot="1" x14ac:dyDescent="0.3">
      <c r="B14" s="40"/>
      <c r="C14" s="11"/>
      <c r="D14" s="48"/>
      <c r="F14" s="40"/>
      <c r="G14" s="51" t="str">
        <f>C6</f>
        <v>B</v>
      </c>
      <c r="H14" s="5"/>
      <c r="I14" s="5"/>
      <c r="J14" s="70" t="str">
        <f>C10</f>
        <v>F</v>
      </c>
      <c r="K14" s="41"/>
      <c r="M14" s="40"/>
      <c r="O14" s="12"/>
      <c r="Q14" s="41"/>
    </row>
    <row r="15" spans="2:24" x14ac:dyDescent="0.25">
      <c r="B15" s="40"/>
      <c r="C15" s="14" t="s">
        <v>9</v>
      </c>
      <c r="D15" s="48"/>
      <c r="F15" s="40"/>
      <c r="G15" s="51" t="str">
        <f>C7</f>
        <v>C</v>
      </c>
      <c r="H15" s="5"/>
      <c r="I15" s="5"/>
      <c r="J15" s="70" t="str">
        <f>C10</f>
        <v>F</v>
      </c>
      <c r="K15" s="41"/>
      <c r="M15" s="40"/>
      <c r="O15" s="12"/>
      <c r="Q15" s="41"/>
    </row>
    <row r="16" spans="2:24" ht="15.75" thickBot="1" x14ac:dyDescent="0.3">
      <c r="B16" s="40"/>
      <c r="C16" s="15">
        <v>1</v>
      </c>
      <c r="D16" s="48"/>
      <c r="F16" s="40"/>
      <c r="G16" s="52" t="str">
        <f>C6</f>
        <v>B</v>
      </c>
      <c r="H16" s="25"/>
      <c r="I16" s="25"/>
      <c r="J16" s="71" t="str">
        <f>C7</f>
        <v>C</v>
      </c>
      <c r="K16" s="41"/>
      <c r="M16" s="40"/>
      <c r="O16" s="12"/>
      <c r="Q16" s="41"/>
    </row>
    <row r="17" spans="2:17" ht="15.75" thickBot="1" x14ac:dyDescent="0.3">
      <c r="B17" s="40"/>
      <c r="C17" s="11"/>
      <c r="D17" s="48"/>
      <c r="F17" s="40"/>
      <c r="K17" s="41"/>
      <c r="M17" s="40"/>
      <c r="O17" s="12"/>
      <c r="Q17" s="41"/>
    </row>
    <row r="18" spans="2:17" ht="15.75" thickBot="1" x14ac:dyDescent="0.3">
      <c r="B18" s="40"/>
      <c r="C18" s="14" t="s">
        <v>10</v>
      </c>
      <c r="D18" s="48"/>
      <c r="F18" s="40"/>
      <c r="G18" s="173" t="s">
        <v>49</v>
      </c>
      <c r="H18" s="174"/>
      <c r="I18" s="174"/>
      <c r="J18" s="175"/>
      <c r="K18" s="41"/>
      <c r="M18" s="40"/>
      <c r="O18" s="13"/>
      <c r="Q18" s="41"/>
    </row>
    <row r="19" spans="2:17" ht="15.75" thickBot="1" x14ac:dyDescent="0.3">
      <c r="B19" s="40"/>
      <c r="C19" s="15">
        <v>0</v>
      </c>
      <c r="D19" s="48"/>
      <c r="F19" s="40"/>
      <c r="G19" s="16" t="str">
        <f>C9</f>
        <v>E</v>
      </c>
      <c r="H19" s="67"/>
      <c r="I19" s="67"/>
      <c r="J19" s="69" t="str">
        <f>C10</f>
        <v>F</v>
      </c>
      <c r="K19" s="41"/>
      <c r="M19" s="49"/>
      <c r="N19" s="45"/>
      <c r="O19" s="45"/>
      <c r="P19" s="45"/>
      <c r="Q19" s="46"/>
    </row>
    <row r="20" spans="2:17" ht="15.75" thickBot="1" x14ac:dyDescent="0.3">
      <c r="B20" s="49"/>
      <c r="C20" s="45"/>
      <c r="D20" s="46"/>
      <c r="F20" s="40"/>
      <c r="G20" s="51" t="str">
        <f>C8</f>
        <v>D</v>
      </c>
      <c r="H20" s="5"/>
      <c r="I20" s="5"/>
      <c r="J20" s="70" t="str">
        <f>C10</f>
        <v>F</v>
      </c>
      <c r="K20" s="41"/>
    </row>
    <row r="21" spans="2:17" x14ac:dyDescent="0.25">
      <c r="F21" s="40"/>
      <c r="G21" s="51" t="str">
        <f>C7</f>
        <v>C</v>
      </c>
      <c r="H21" s="5"/>
      <c r="I21" s="5"/>
      <c r="J21" s="70" t="str">
        <f>C9</f>
        <v>E</v>
      </c>
      <c r="K21" s="41"/>
    </row>
    <row r="22" spans="2:17" x14ac:dyDescent="0.25">
      <c r="F22" s="40"/>
      <c r="G22" s="51" t="str">
        <f>C6</f>
        <v>B</v>
      </c>
      <c r="H22" s="5"/>
      <c r="I22" s="5"/>
      <c r="J22" s="70" t="str">
        <f>C8</f>
        <v>D</v>
      </c>
      <c r="K22" s="41"/>
    </row>
    <row r="23" spans="2:17" ht="15.75" thickBot="1" x14ac:dyDescent="0.3">
      <c r="F23" s="40"/>
      <c r="G23" s="52" t="str">
        <f>C8</f>
        <v>D</v>
      </c>
      <c r="H23" s="25"/>
      <c r="I23" s="25"/>
      <c r="J23" s="71" t="str">
        <f>C9</f>
        <v>E</v>
      </c>
      <c r="K23" s="41"/>
    </row>
    <row r="24" spans="2:17" ht="15.75" thickBot="1" x14ac:dyDescent="0.3">
      <c r="F24" s="49"/>
      <c r="G24" s="45"/>
      <c r="H24" s="45"/>
      <c r="I24" s="45"/>
      <c r="J24" s="86"/>
      <c r="K24" s="46"/>
    </row>
    <row r="34" spans="3:4" x14ac:dyDescent="0.25">
      <c r="C34" s="7"/>
      <c r="D34" s="8" t="s">
        <v>11</v>
      </c>
    </row>
  </sheetData>
  <protectedRanges>
    <protectedRange algorithmName="SHA-512" hashValue="DFEKZkfjwVaa91rcPUWznniPfdWvpWyZu9h/X6L9ECdOV+PpGmEH1EKuJa6LysfnP5hwlJ+wWn1ZKHji/qoMZA==" saltValue="/iI4DYz0TEGm/Cjtm+aeug==" spinCount="100000" sqref="C5:C10 C13 C16 C19" name="Saissable6"/>
    <protectedRange algorithmName="SHA-512" hashValue="DFEKZkfjwVaa91rcPUWznniPfdWvpWyZu9h/X6L9ECdOV+PpGmEH1EKuJa6LysfnP5hwlJ+wWn1ZKHji/qoMZA==" saltValue="/iI4DYz0TEGm/Cjtm+aeug==" spinCount="100000" sqref="N5:N10" name="Saissable6_1"/>
  </protectedRanges>
  <mergeCells count="7">
    <mergeCell ref="G18:J18"/>
    <mergeCell ref="B2:D2"/>
    <mergeCell ref="S2:X2"/>
    <mergeCell ref="F2:K2"/>
    <mergeCell ref="M2:Q2"/>
    <mergeCell ref="G4:J4"/>
    <mergeCell ref="G11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E952-BC2C-45B5-B34A-BDEF00DB2A4F}">
  <sheetPr>
    <tabColor theme="7" tint="0.79998168889431442"/>
  </sheetPr>
  <dimension ref="B1:AX19"/>
  <sheetViews>
    <sheetView tabSelected="1" topLeftCell="D1" zoomScale="92" workbookViewId="0">
      <selection activeCell="AB34" sqref="AB34"/>
    </sheetView>
  </sheetViews>
  <sheetFormatPr defaultColWidth="11.42578125" defaultRowHeight="15" x14ac:dyDescent="0.25"/>
  <cols>
    <col min="1" max="1" width="2.7109375" style="1" customWidth="1"/>
    <col min="2" max="2" width="5.7109375" style="1" customWidth="1"/>
    <col min="3" max="3" width="15.7109375" style="1" customWidth="1"/>
    <col min="4" max="4" width="5.7109375" style="1" customWidth="1"/>
    <col min="5" max="5" width="2.7109375" style="1" customWidth="1"/>
    <col min="6" max="6" width="5.7109375" style="1" customWidth="1"/>
    <col min="7" max="7" width="3.7109375" style="1" customWidth="1"/>
    <col min="8" max="8" width="11.42578125" style="1" customWidth="1"/>
    <col min="9" max="9" width="5.7109375" style="1" customWidth="1"/>
    <col min="10" max="10" width="5.7109375" style="11" customWidth="1"/>
    <col min="11" max="11" width="5.7109375" style="1" customWidth="1"/>
    <col min="12" max="12" width="11.42578125" style="9" customWidth="1"/>
    <col min="13" max="13" width="3.7109375" style="1" customWidth="1"/>
    <col min="14" max="14" width="5.7109375" style="1" customWidth="1"/>
    <col min="15" max="15" width="3.7109375" style="1" customWidth="1"/>
    <col min="16" max="16" width="11.42578125" style="1"/>
    <col min="17" max="17" width="5.7109375" style="1" customWidth="1"/>
    <col min="18" max="18" width="5.7109375" style="11" customWidth="1"/>
    <col min="19" max="19" width="5.7109375" style="1" customWidth="1"/>
    <col min="20" max="20" width="11.42578125" style="9"/>
    <col min="21" max="21" width="3.7109375" style="1" customWidth="1"/>
    <col min="22" max="22" width="5.7109375" style="1" customWidth="1"/>
    <col min="23" max="23" width="3.7109375" style="1" customWidth="1"/>
    <col min="24" max="24" width="11.42578125" style="1"/>
    <col min="25" max="25" width="5.7109375" style="1" customWidth="1"/>
    <col min="26" max="26" width="5.7109375" style="11" customWidth="1"/>
    <col min="27" max="27" width="5.7109375" style="1" customWidth="1"/>
    <col min="28" max="28" width="11.42578125" style="9"/>
    <col min="29" max="29" width="3.7109375" style="1" customWidth="1"/>
    <col min="30" max="30" width="5.7109375" style="1" customWidth="1"/>
    <col min="31" max="31" width="3.7109375" style="1" customWidth="1"/>
    <col min="32" max="32" width="11.42578125" style="1" customWidth="1"/>
    <col min="33" max="35" width="5.7109375" style="1" customWidth="1"/>
    <col min="36" max="36" width="11.42578125" style="9" customWidth="1"/>
    <col min="37" max="37" width="3.7109375" style="1" customWidth="1"/>
    <col min="38" max="38" width="5.7109375" style="1" customWidth="1"/>
    <col min="39" max="39" width="3.7109375" style="1" customWidth="1"/>
    <col min="40" max="40" width="11.42578125" style="1"/>
    <col min="41" max="43" width="5.7109375" style="1" customWidth="1"/>
    <col min="44" max="44" width="11.42578125" style="9"/>
    <col min="45" max="45" width="3.7109375" style="1" customWidth="1"/>
    <col min="46" max="46" width="5.7109375" style="1" customWidth="1"/>
    <col min="47" max="47" width="2.7109375" style="1" customWidth="1"/>
    <col min="48" max="48" width="5.7109375" style="11" customWidth="1"/>
    <col min="49" max="49" width="15.7109375" style="1" customWidth="1"/>
    <col min="50" max="50" width="5.7109375" style="1" customWidth="1"/>
    <col min="51" max="51" width="2.7109375" style="1" customWidth="1"/>
    <col min="52" max="16384" width="11.42578125" style="1"/>
  </cols>
  <sheetData>
    <row r="1" spans="2:50" ht="15.75" thickBot="1" x14ac:dyDescent="0.3"/>
    <row r="2" spans="2:50" ht="15.75" thickBot="1" x14ac:dyDescent="0.3">
      <c r="B2" s="150" t="s">
        <v>21</v>
      </c>
      <c r="C2" s="151"/>
      <c r="D2" s="152"/>
      <c r="F2" s="150" t="s">
        <v>133</v>
      </c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2"/>
      <c r="AV2" s="150" t="s">
        <v>29</v>
      </c>
      <c r="AW2" s="151"/>
      <c r="AX2" s="152"/>
    </row>
    <row r="3" spans="2:50" ht="15.75" thickBot="1" x14ac:dyDescent="0.3">
      <c r="B3" s="37"/>
      <c r="C3" s="38"/>
      <c r="D3" s="39"/>
      <c r="F3" s="40"/>
      <c r="W3" s="154" t="s">
        <v>117</v>
      </c>
      <c r="X3" s="154"/>
      <c r="Y3" s="154"/>
      <c r="Z3" s="154"/>
      <c r="AA3" s="154"/>
      <c r="AB3" s="154"/>
      <c r="AC3" s="154"/>
      <c r="AT3" s="41"/>
      <c r="AV3" s="112"/>
      <c r="AW3" s="38"/>
      <c r="AX3" s="39"/>
    </row>
    <row r="4" spans="2:50" ht="15.75" thickBot="1" x14ac:dyDescent="0.3">
      <c r="B4" s="40"/>
      <c r="C4" s="33" t="s">
        <v>114</v>
      </c>
      <c r="D4" s="41"/>
      <c r="F4" s="40"/>
      <c r="O4" s="154" t="s">
        <v>115</v>
      </c>
      <c r="P4" s="154"/>
      <c r="Q4" s="154"/>
      <c r="R4" s="154"/>
      <c r="S4" s="154"/>
      <c r="T4" s="154"/>
      <c r="U4" s="154"/>
      <c r="W4" s="123"/>
      <c r="X4" s="125"/>
      <c r="Y4" s="125"/>
      <c r="Z4" s="109"/>
      <c r="AA4" s="125"/>
      <c r="AB4" s="131"/>
      <c r="AC4" s="126"/>
      <c r="AE4" s="154" t="s">
        <v>121</v>
      </c>
      <c r="AF4" s="154"/>
      <c r="AG4" s="154"/>
      <c r="AH4" s="154"/>
      <c r="AI4" s="154"/>
      <c r="AJ4" s="154"/>
      <c r="AK4" s="154"/>
      <c r="AT4" s="41"/>
      <c r="AV4" s="135"/>
      <c r="AW4" s="72" t="s">
        <v>114</v>
      </c>
      <c r="AX4" s="41"/>
    </row>
    <row r="5" spans="2:50" ht="15.75" thickBot="1" x14ac:dyDescent="0.3">
      <c r="B5" s="40"/>
      <c r="C5" s="32" t="s">
        <v>130</v>
      </c>
      <c r="D5" s="41"/>
      <c r="F5" s="40"/>
      <c r="O5" s="123"/>
      <c r="P5" s="124"/>
      <c r="Q5" s="125"/>
      <c r="R5" s="109"/>
      <c r="S5" s="125"/>
      <c r="T5" s="131"/>
      <c r="U5" s="126"/>
      <c r="W5" s="121"/>
      <c r="X5" s="30" t="str">
        <f>IF($Q$6="","TBD",IF($Q$6&gt;$S$6,$P$6,$T$6))</f>
        <v>TBD</v>
      </c>
      <c r="Y5" s="137"/>
      <c r="Z5" s="72" t="s">
        <v>5</v>
      </c>
      <c r="AA5" s="138"/>
      <c r="AB5" s="132" t="str">
        <f>IF($Q$8="","TBD",IF($Q$8&gt;$S$8,$P$8,$T$8))</f>
        <v>TBD</v>
      </c>
      <c r="AC5" s="127"/>
      <c r="AE5" s="123"/>
      <c r="AF5" s="125"/>
      <c r="AG5" s="125"/>
      <c r="AH5" s="109"/>
      <c r="AI5" s="125"/>
      <c r="AJ5" s="131"/>
      <c r="AK5" s="126"/>
      <c r="AT5" s="41"/>
      <c r="AV5" s="135">
        <v>1</v>
      </c>
      <c r="AW5" s="32" t="str">
        <f>IF($Y$5="","TBD",IF($Y$5&gt;$AA$5,$X$5,$AB$5))</f>
        <v>TBD</v>
      </c>
      <c r="AX5" s="41"/>
    </row>
    <row r="6" spans="2:50" ht="15.75" thickBot="1" x14ac:dyDescent="0.3">
      <c r="B6" s="40"/>
      <c r="C6" s="12" t="s">
        <v>148</v>
      </c>
      <c r="D6" s="41"/>
      <c r="F6" s="40"/>
      <c r="G6" s="154" t="s">
        <v>120</v>
      </c>
      <c r="H6" s="154"/>
      <c r="I6" s="154"/>
      <c r="J6" s="154"/>
      <c r="K6" s="154"/>
      <c r="L6" s="154"/>
      <c r="M6" s="154"/>
      <c r="O6" s="121"/>
      <c r="P6" s="30" t="str">
        <f>IF($I$8="","TBD",IF($I$8&gt;$K$8,$H$8,$L$8))</f>
        <v>Valentin</v>
      </c>
      <c r="Q6" s="137"/>
      <c r="R6" s="72" t="s">
        <v>5</v>
      </c>
      <c r="S6" s="138"/>
      <c r="T6" s="132" t="str">
        <f>IF($I$12="","TBD",IF($I$12&gt;$K$12,$H$12,$L$12))</f>
        <v>Gabin</v>
      </c>
      <c r="U6" s="127"/>
      <c r="W6" s="128"/>
      <c r="X6" s="129"/>
      <c r="Y6" s="129"/>
      <c r="Z6" s="56"/>
      <c r="AA6" s="129"/>
      <c r="AB6" s="133"/>
      <c r="AC6" s="4"/>
      <c r="AE6" s="121"/>
      <c r="AF6" s="30" t="str">
        <f>IF($Y$12="","TBD",IF($Y$12&gt;$AA$12,$X$12,$AB$12))</f>
        <v>TBD</v>
      </c>
      <c r="AG6" s="137"/>
      <c r="AH6" s="72" t="s">
        <v>5</v>
      </c>
      <c r="AI6" s="138"/>
      <c r="AJ6" s="132" t="str">
        <f>IF($Y$10="","TBD",IF($Y$10&gt;$AA$10,$X$10,$AB$10))</f>
        <v>TBD</v>
      </c>
      <c r="AK6" s="127"/>
      <c r="AT6" s="41"/>
      <c r="AV6" s="135">
        <v>2</v>
      </c>
      <c r="AW6" s="12" t="str">
        <f>IF($AG$6="","TBD",IF($AG$6&gt;$AI$6,$AF$6,$AJ$6))</f>
        <v>TBD</v>
      </c>
      <c r="AX6" s="41"/>
    </row>
    <row r="7" spans="2:50" ht="15.75" thickBot="1" x14ac:dyDescent="0.3">
      <c r="B7" s="40"/>
      <c r="C7" s="12" t="s">
        <v>131</v>
      </c>
      <c r="D7" s="41"/>
      <c r="F7" s="40"/>
      <c r="G7" s="123"/>
      <c r="H7" s="125"/>
      <c r="I7" s="125"/>
      <c r="J7" s="109"/>
      <c r="K7" s="125"/>
      <c r="L7" s="131"/>
      <c r="M7" s="126"/>
      <c r="O7" s="121"/>
      <c r="U7" s="127"/>
      <c r="W7" s="130"/>
      <c r="X7" s="130"/>
      <c r="Y7" s="130"/>
      <c r="Z7" s="130"/>
      <c r="AA7" s="130"/>
      <c r="AB7" s="134"/>
      <c r="AC7" s="130"/>
      <c r="AE7" s="128"/>
      <c r="AF7" s="129"/>
      <c r="AG7" s="129"/>
      <c r="AH7" s="56"/>
      <c r="AI7" s="129"/>
      <c r="AJ7" s="133"/>
      <c r="AK7" s="4"/>
      <c r="AM7" s="154" t="s">
        <v>124</v>
      </c>
      <c r="AN7" s="154"/>
      <c r="AO7" s="154"/>
      <c r="AP7" s="154"/>
      <c r="AQ7" s="154"/>
      <c r="AR7" s="154"/>
      <c r="AS7" s="154"/>
      <c r="AT7" s="41"/>
      <c r="AV7" s="135">
        <v>3</v>
      </c>
      <c r="AW7" s="12" t="str">
        <f>IF(AG11="","TBD",IF(AG11&gt;AI11,AF11,IF(AO9="","TBD",IF(AO9&gt;AQ9,AN9,AR9))))</f>
        <v>TBD</v>
      </c>
      <c r="AX7" s="41"/>
    </row>
    <row r="8" spans="2:50" ht="15.75" thickBot="1" x14ac:dyDescent="0.3">
      <c r="B8" s="40"/>
      <c r="C8" s="12" t="s">
        <v>129</v>
      </c>
      <c r="D8" s="41"/>
      <c r="F8" s="40"/>
      <c r="G8" s="121"/>
      <c r="H8" s="30" t="str">
        <f>IF(C5="","TBD",C5)</f>
        <v>Axel</v>
      </c>
      <c r="I8" s="137">
        <v>7</v>
      </c>
      <c r="J8" s="72" t="s">
        <v>5</v>
      </c>
      <c r="K8" s="138">
        <v>11</v>
      </c>
      <c r="L8" s="132" t="str">
        <f>IF(C12="","TBD",C12)</f>
        <v>Valentin</v>
      </c>
      <c r="M8" s="127"/>
      <c r="O8" s="121"/>
      <c r="P8" s="30" t="str">
        <f>IF($I$10="","TBD",IF($I$10&gt;$K$10,$H$10,$L$10))</f>
        <v>Clément</v>
      </c>
      <c r="Q8" s="137"/>
      <c r="R8" s="72" t="s">
        <v>5</v>
      </c>
      <c r="S8" s="138"/>
      <c r="T8" s="132" t="str">
        <f>IF($I$14="","TBD",IF($I$14&gt;$K$14,$H$14,$L$14))</f>
        <v>Théo</v>
      </c>
      <c r="U8" s="127"/>
      <c r="W8" s="154" t="s">
        <v>119</v>
      </c>
      <c r="X8" s="154"/>
      <c r="Y8" s="154"/>
      <c r="Z8" s="154"/>
      <c r="AA8" s="154"/>
      <c r="AB8" s="154"/>
      <c r="AC8" s="154"/>
      <c r="AM8" s="123"/>
      <c r="AN8" s="125"/>
      <c r="AO8" s="125"/>
      <c r="AP8" s="109"/>
      <c r="AQ8" s="125"/>
      <c r="AR8" s="131"/>
      <c r="AS8" s="126"/>
      <c r="AT8" s="41"/>
      <c r="AV8" s="135">
        <v>4</v>
      </c>
      <c r="AW8" s="12" t="str">
        <f>IF(AO14="","TBD",IF(AR9=AF11,IF(AO14&gt;AQ14,AN14,AR14),IF(AO9&lt;AQ9,AR9,AN9)))</f>
        <v>TBD</v>
      </c>
      <c r="AX8" s="41"/>
    </row>
    <row r="9" spans="2:50" ht="15.75" thickBot="1" x14ac:dyDescent="0.3">
      <c r="B9" s="40"/>
      <c r="C9" s="12" t="s">
        <v>127</v>
      </c>
      <c r="D9" s="41"/>
      <c r="F9" s="40"/>
      <c r="G9" s="121"/>
      <c r="M9" s="127"/>
      <c r="O9" s="128"/>
      <c r="P9" s="129"/>
      <c r="Q9" s="129"/>
      <c r="R9" s="56"/>
      <c r="S9" s="129"/>
      <c r="T9" s="133"/>
      <c r="U9" s="4"/>
      <c r="W9" s="123"/>
      <c r="X9" s="125"/>
      <c r="Y9" s="125"/>
      <c r="Z9" s="109"/>
      <c r="AA9" s="125"/>
      <c r="AB9" s="131"/>
      <c r="AC9" s="126"/>
      <c r="AE9" s="154" t="s">
        <v>122</v>
      </c>
      <c r="AF9" s="154"/>
      <c r="AG9" s="154"/>
      <c r="AH9" s="154"/>
      <c r="AI9" s="154"/>
      <c r="AJ9" s="154"/>
      <c r="AK9" s="154"/>
      <c r="AM9" s="121"/>
      <c r="AN9" s="30" t="str">
        <f>IF($AG$6="","TBD",IF($AG$6&lt;$AI$6,$AF$6,$AJ$6))</f>
        <v>TBD</v>
      </c>
      <c r="AO9" s="137"/>
      <c r="AP9" s="72" t="s">
        <v>5</v>
      </c>
      <c r="AQ9" s="138"/>
      <c r="AR9" s="132" t="str">
        <f>IF(AG11="","TBD",IF(AG11&lt;AI11,AF11,IF(AG16&gt;AI16,AF16,AJ16)))</f>
        <v>TBD</v>
      </c>
      <c r="AS9" s="127"/>
      <c r="AT9" s="41"/>
      <c r="AV9" s="135">
        <v>5</v>
      </c>
      <c r="AW9" s="12" t="str">
        <f>IF(AO9="","TBD",IF(AO9&gt;AQ9,AR9,AN9))</f>
        <v>TBD</v>
      </c>
      <c r="AX9" s="41"/>
    </row>
    <row r="10" spans="2:50" ht="15.75" thickBot="1" x14ac:dyDescent="0.3">
      <c r="B10" s="40"/>
      <c r="C10" s="12" t="s">
        <v>132</v>
      </c>
      <c r="D10" s="41"/>
      <c r="F10" s="40"/>
      <c r="G10" s="121"/>
      <c r="H10" s="30" t="str">
        <f>IF(C8="","TBD",C8)</f>
        <v>Maxime</v>
      </c>
      <c r="I10" s="137">
        <v>10</v>
      </c>
      <c r="J10" s="72" t="s">
        <v>5</v>
      </c>
      <c r="K10" s="138">
        <v>12</v>
      </c>
      <c r="L10" s="132" t="str">
        <f>IF(C9="","TBD",C9)</f>
        <v>Clément</v>
      </c>
      <c r="M10" s="127"/>
      <c r="W10" s="121"/>
      <c r="X10" s="30" t="str">
        <f>IF($Q$6="","TBD",IF($Q$6&lt;$S$6,$P$6,$T$6))</f>
        <v>TBD</v>
      </c>
      <c r="Y10" s="137"/>
      <c r="Z10" s="72" t="s">
        <v>5</v>
      </c>
      <c r="AA10" s="138"/>
      <c r="AB10" s="132" t="str">
        <f>IF($Q$16="","TBD",IF($Q$16&gt;$S$16,$P$16,$T$16))</f>
        <v>Maxime</v>
      </c>
      <c r="AC10" s="127"/>
      <c r="AE10" s="123"/>
      <c r="AF10" s="125"/>
      <c r="AG10" s="125"/>
      <c r="AH10" s="109"/>
      <c r="AI10" s="125"/>
      <c r="AJ10" s="131"/>
      <c r="AK10" s="126"/>
      <c r="AM10" s="128"/>
      <c r="AN10" s="129"/>
      <c r="AO10" s="129"/>
      <c r="AP10" s="56"/>
      <c r="AQ10" s="129"/>
      <c r="AR10" s="133"/>
      <c r="AS10" s="4"/>
      <c r="AT10" s="41"/>
      <c r="AV10" s="135">
        <v>6</v>
      </c>
      <c r="AW10" s="12" t="str">
        <f>IF(AG11="","TBD",IF(AG11&gt;AI11,AJ11,IF(AO14="","TBD",IF(AO14&lt;AQ14,AN14,AR14))))</f>
        <v>TBD</v>
      </c>
      <c r="AX10" s="41"/>
    </row>
    <row r="11" spans="2:50" ht="15.75" thickBot="1" x14ac:dyDescent="0.3">
      <c r="B11" s="40"/>
      <c r="C11" s="12" t="s">
        <v>128</v>
      </c>
      <c r="D11" s="41"/>
      <c r="F11" s="40"/>
      <c r="G11" s="121"/>
      <c r="M11" s="127"/>
      <c r="R11" s="1"/>
      <c r="W11" s="121"/>
      <c r="AC11" s="127"/>
      <c r="AE11" s="121"/>
      <c r="AF11" s="30" t="str">
        <f>IF($Y$5="","TBD",IF($Y$5&lt;$AA$5,$X$5,$AB$5))</f>
        <v>TBD</v>
      </c>
      <c r="AG11" s="137"/>
      <c r="AH11" s="72" t="s">
        <v>5</v>
      </c>
      <c r="AI11" s="138"/>
      <c r="AJ11" s="132" t="str">
        <f>IF($Y$12="","TBD",IF($Y$12&lt;$AA$12,$X$12,$AB$12))</f>
        <v>TBD</v>
      </c>
      <c r="AK11" s="127"/>
      <c r="AT11" s="41"/>
      <c r="AV11" s="135">
        <v>7</v>
      </c>
      <c r="AW11" s="12" t="str">
        <f>IF($AG$16="","TBD",IF($AG$16&lt;$AI$16,$AF$16,$AJ$16))</f>
        <v>TBD</v>
      </c>
      <c r="AX11" s="41"/>
    </row>
    <row r="12" spans="2:50" ht="15.75" thickBot="1" x14ac:dyDescent="0.3">
      <c r="B12" s="40"/>
      <c r="C12" s="13" t="s">
        <v>126</v>
      </c>
      <c r="D12" s="41"/>
      <c r="F12" s="40"/>
      <c r="G12" s="121"/>
      <c r="H12" s="30" t="str">
        <f>IF(C7="","TBD",C7)</f>
        <v>Gabin</v>
      </c>
      <c r="I12" s="137">
        <v>11</v>
      </c>
      <c r="J12" s="72" t="s">
        <v>5</v>
      </c>
      <c r="K12" s="138">
        <v>8</v>
      </c>
      <c r="L12" s="132" t="str">
        <f>IF(C10="","TBD",C10)</f>
        <v>Kylian</v>
      </c>
      <c r="M12" s="127"/>
      <c r="O12" s="156" t="s">
        <v>116</v>
      </c>
      <c r="P12" s="154"/>
      <c r="Q12" s="154"/>
      <c r="R12" s="154"/>
      <c r="S12" s="154"/>
      <c r="T12" s="154"/>
      <c r="U12" s="154"/>
      <c r="W12" s="121"/>
      <c r="X12" s="30" t="str">
        <f>IF($Q$8="","TBD",IF($Q$8&lt;$S$8,$P$8,$T$8))</f>
        <v>TBD</v>
      </c>
      <c r="Y12" s="137"/>
      <c r="Z12" s="72" t="s">
        <v>5</v>
      </c>
      <c r="AA12" s="138"/>
      <c r="AB12" s="132" t="str">
        <f>IF($Q$14="","TBD",IF($Q$14&gt;$S$14,$P$14,$T$14))</f>
        <v>TBD</v>
      </c>
      <c r="AC12" s="127"/>
      <c r="AE12" s="128"/>
      <c r="AF12" s="129"/>
      <c r="AG12" s="129"/>
      <c r="AH12" s="56"/>
      <c r="AI12" s="129"/>
      <c r="AJ12" s="133"/>
      <c r="AK12" s="4"/>
      <c r="AM12" s="154" t="s">
        <v>124</v>
      </c>
      <c r="AN12" s="154"/>
      <c r="AO12" s="154"/>
      <c r="AP12" s="154"/>
      <c r="AQ12" s="154"/>
      <c r="AR12" s="154"/>
      <c r="AS12" s="154"/>
      <c r="AT12" s="41"/>
      <c r="AV12" s="135">
        <v>8</v>
      </c>
      <c r="AW12" s="13" t="str">
        <f>IF($Y$17="","TBD",IF($Y$17&lt;$AA$17,$X$17,$AB$17))</f>
        <v>TBD</v>
      </c>
      <c r="AX12" s="41"/>
    </row>
    <row r="13" spans="2:50" ht="15.75" thickBot="1" x14ac:dyDescent="0.3">
      <c r="B13" s="49"/>
      <c r="C13" s="45"/>
      <c r="D13" s="46"/>
      <c r="F13" s="40"/>
      <c r="G13" s="121"/>
      <c r="M13" s="127"/>
      <c r="O13" s="123"/>
      <c r="P13" s="125"/>
      <c r="Q13" s="125"/>
      <c r="R13" s="109"/>
      <c r="S13" s="125"/>
      <c r="T13" s="131"/>
      <c r="U13" s="126"/>
      <c r="W13" s="128"/>
      <c r="X13" s="129"/>
      <c r="Y13" s="129"/>
      <c r="Z13" s="56"/>
      <c r="AA13" s="129"/>
      <c r="AB13" s="133"/>
      <c r="AC13" s="4"/>
      <c r="AM13" s="123"/>
      <c r="AN13" s="125"/>
      <c r="AO13" s="125"/>
      <c r="AP13" s="109"/>
      <c r="AQ13" s="125"/>
      <c r="AR13" s="131"/>
      <c r="AS13" s="126"/>
      <c r="AT13" s="41"/>
      <c r="AV13" s="136"/>
      <c r="AW13" s="45"/>
      <c r="AX13" s="46"/>
    </row>
    <row r="14" spans="2:50" ht="15.75" thickBot="1" x14ac:dyDescent="0.3">
      <c r="F14" s="40"/>
      <c r="G14" s="121"/>
      <c r="H14" s="30" t="str">
        <f>IF(C11="","TBD",C11)</f>
        <v>Théo</v>
      </c>
      <c r="I14" s="137">
        <v>11</v>
      </c>
      <c r="J14" s="72" t="s">
        <v>5</v>
      </c>
      <c r="K14" s="138">
        <v>4</v>
      </c>
      <c r="L14" s="132" t="str">
        <f>IF(C6="","TBD",C6)</f>
        <v xml:space="preserve">Hugo </v>
      </c>
      <c r="M14" s="127"/>
      <c r="O14" s="121"/>
      <c r="P14" s="30" t="str">
        <f>IF($I$8="","TBD",IF($I$8&lt;$K$8,$H$8,$L$8))</f>
        <v>Axel</v>
      </c>
      <c r="Q14" s="137"/>
      <c r="R14" s="72" t="s">
        <v>5</v>
      </c>
      <c r="S14" s="138"/>
      <c r="T14" s="132" t="str">
        <f>IF($I$12="","TBD",IF($I$12&lt;$K$12,$H$12,$L$12))</f>
        <v>Kylian</v>
      </c>
      <c r="U14" s="127"/>
      <c r="W14" s="109"/>
      <c r="X14" s="109"/>
      <c r="Y14" s="109"/>
      <c r="Z14" s="109"/>
      <c r="AA14" s="109"/>
      <c r="AB14" s="131"/>
      <c r="AC14" s="109"/>
      <c r="AE14" s="154" t="s">
        <v>123</v>
      </c>
      <c r="AF14" s="154"/>
      <c r="AG14" s="154"/>
      <c r="AH14" s="154"/>
      <c r="AI14" s="154"/>
      <c r="AJ14" s="154"/>
      <c r="AK14" s="154"/>
      <c r="AM14" s="121"/>
      <c r="AN14" s="30" t="str">
        <f>IF($AG$16="","TBD",IF(AG11="","TBD",IF(AG11&gt;AI11,"",IF($AG$16&gt;$AI$16,$AF$16,$AJ$16))))</f>
        <v>TBD</v>
      </c>
      <c r="AO14" s="137"/>
      <c r="AP14" s="72" t="s">
        <v>5</v>
      </c>
      <c r="AQ14" s="138"/>
      <c r="AR14" s="132" t="str">
        <f>IF(AG11="","TBD",IF(AI11&gt;AG11,AJ11,""))</f>
        <v>TBD</v>
      </c>
      <c r="AS14" s="127"/>
      <c r="AT14" s="41"/>
    </row>
    <row r="15" spans="2:50" ht="15.75" thickBot="1" x14ac:dyDescent="0.3">
      <c r="F15" s="40"/>
      <c r="G15" s="128"/>
      <c r="H15" s="129"/>
      <c r="I15" s="129"/>
      <c r="J15" s="56"/>
      <c r="K15" s="129"/>
      <c r="L15" s="133"/>
      <c r="M15" s="4"/>
      <c r="O15" s="121"/>
      <c r="U15" s="127"/>
      <c r="W15" s="154" t="s">
        <v>118</v>
      </c>
      <c r="X15" s="154"/>
      <c r="Y15" s="154"/>
      <c r="Z15" s="154"/>
      <c r="AA15" s="154"/>
      <c r="AB15" s="154"/>
      <c r="AC15" s="154"/>
      <c r="AE15" s="123"/>
      <c r="AF15" s="125"/>
      <c r="AG15" s="125"/>
      <c r="AH15" s="109"/>
      <c r="AI15" s="125"/>
      <c r="AJ15" s="131"/>
      <c r="AK15" s="126"/>
      <c r="AM15" s="128"/>
      <c r="AN15" s="129"/>
      <c r="AO15" s="129"/>
      <c r="AP15" s="56"/>
      <c r="AQ15" s="129"/>
      <c r="AR15" s="133"/>
      <c r="AS15" s="4"/>
      <c r="AT15" s="41"/>
    </row>
    <row r="16" spans="2:50" ht="15.75" thickBot="1" x14ac:dyDescent="0.3">
      <c r="F16" s="40"/>
      <c r="O16" s="121"/>
      <c r="P16" s="30" t="str">
        <f>IF($I$10="","TBD",IF($I$10&lt;$K$10,$H$10,$L$10))</f>
        <v>Maxime</v>
      </c>
      <c r="Q16" s="137">
        <v>11</v>
      </c>
      <c r="R16" s="72" t="s">
        <v>5</v>
      </c>
      <c r="S16" s="138">
        <v>2</v>
      </c>
      <c r="T16" s="132" t="str">
        <f>IF($I$14="","TBD",IF($I$14&lt;$K$14,$H$14,$L$14))</f>
        <v xml:space="preserve">Hugo </v>
      </c>
      <c r="U16" s="127"/>
      <c r="W16" s="123"/>
      <c r="X16" s="125"/>
      <c r="Y16" s="125"/>
      <c r="Z16" s="109"/>
      <c r="AA16" s="125"/>
      <c r="AB16" s="131"/>
      <c r="AC16" s="126"/>
      <c r="AE16" s="121"/>
      <c r="AF16" s="30" t="str">
        <f>IF($Y$17="","TBD",IF($Y$17&gt;$AA$17,$X$17,$AB$17))</f>
        <v>TBD</v>
      </c>
      <c r="AG16" s="137"/>
      <c r="AH16" s="72" t="s">
        <v>5</v>
      </c>
      <c r="AI16" s="138"/>
      <c r="AJ16" s="132" t="str">
        <f>IF($Y$10="","TBD",IF($Y$10&lt;$AA$10,$X$10,$AB$10))</f>
        <v>TBD</v>
      </c>
      <c r="AK16" s="127"/>
      <c r="AM16" s="1" t="s">
        <v>125</v>
      </c>
      <c r="AT16" s="41"/>
    </row>
    <row r="17" spans="6:46" ht="15.75" thickBot="1" x14ac:dyDescent="0.3">
      <c r="F17" s="40"/>
      <c r="O17" s="128"/>
      <c r="P17" s="129"/>
      <c r="Q17" s="129"/>
      <c r="R17" s="56"/>
      <c r="S17" s="129"/>
      <c r="T17" s="133"/>
      <c r="U17" s="4"/>
      <c r="W17" s="121"/>
      <c r="X17" s="30" t="str">
        <f>IF($Q$14="","TBD",IF($Q$14&lt;$S$14,$P$14,$T$14))</f>
        <v>TBD</v>
      </c>
      <c r="Y17" s="137"/>
      <c r="Z17" s="72" t="s">
        <v>5</v>
      </c>
      <c r="AA17" s="138"/>
      <c r="AB17" s="132" t="str">
        <f>IF($Q$16="","TBD",IF($Q$14&gt;$S$16,$P$16,$T$16))</f>
        <v xml:space="preserve">Hugo </v>
      </c>
      <c r="AC17" s="127"/>
      <c r="AE17" s="128"/>
      <c r="AF17" s="129"/>
      <c r="AG17" s="129"/>
      <c r="AH17" s="56"/>
      <c r="AI17" s="129"/>
      <c r="AJ17" s="133"/>
      <c r="AK17" s="4"/>
      <c r="AN17" s="155"/>
      <c r="AO17" s="155"/>
      <c r="AP17" s="155"/>
      <c r="AQ17" s="155"/>
      <c r="AR17" s="155"/>
      <c r="AT17" s="41"/>
    </row>
    <row r="18" spans="6:46" x14ac:dyDescent="0.25">
      <c r="F18" s="40"/>
      <c r="W18" s="128"/>
      <c r="X18" s="129"/>
      <c r="Y18" s="129"/>
      <c r="Z18" s="56"/>
      <c r="AA18" s="129"/>
      <c r="AB18" s="133"/>
      <c r="AC18" s="4"/>
      <c r="AT18" s="41"/>
    </row>
    <row r="19" spans="6:46" ht="15.75" thickBot="1" x14ac:dyDescent="0.3">
      <c r="F19" s="49"/>
      <c r="G19" s="45"/>
      <c r="H19" s="45"/>
      <c r="I19" s="45"/>
      <c r="J19" s="75"/>
      <c r="K19" s="45"/>
      <c r="L19" s="86"/>
      <c r="M19" s="45"/>
      <c r="N19" s="45"/>
      <c r="O19" s="45"/>
      <c r="P19" s="45"/>
      <c r="Q19" s="45"/>
      <c r="R19" s="75"/>
      <c r="S19" s="45"/>
      <c r="T19" s="86"/>
      <c r="U19" s="45"/>
      <c r="V19" s="45"/>
      <c r="W19" s="45"/>
      <c r="X19" s="45"/>
      <c r="Y19" s="45"/>
      <c r="Z19" s="75"/>
      <c r="AA19" s="45"/>
      <c r="AB19" s="86"/>
      <c r="AC19" s="45"/>
      <c r="AD19" s="45"/>
      <c r="AE19" s="45"/>
      <c r="AF19" s="45"/>
      <c r="AG19" s="45"/>
      <c r="AH19" s="45"/>
      <c r="AI19" s="45"/>
      <c r="AJ19" s="86"/>
      <c r="AK19" s="45"/>
      <c r="AL19" s="45"/>
      <c r="AM19" s="45"/>
      <c r="AN19" s="153"/>
      <c r="AO19" s="153"/>
      <c r="AP19" s="45"/>
      <c r="AQ19" s="45"/>
      <c r="AR19" s="86"/>
      <c r="AS19" s="45"/>
      <c r="AT19" s="46"/>
    </row>
  </sheetData>
  <mergeCells count="17">
    <mergeCell ref="AV2:AX2"/>
    <mergeCell ref="AM12:AS12"/>
    <mergeCell ref="F2:AT2"/>
    <mergeCell ref="AM7:AS7"/>
    <mergeCell ref="AN17:AO17"/>
    <mergeCell ref="AP17:AR17"/>
    <mergeCell ref="G6:M6"/>
    <mergeCell ref="O4:U4"/>
    <mergeCell ref="O12:U12"/>
    <mergeCell ref="B2:D2"/>
    <mergeCell ref="AN19:AO19"/>
    <mergeCell ref="AE14:AK14"/>
    <mergeCell ref="AE9:AK9"/>
    <mergeCell ref="AE4:AK4"/>
    <mergeCell ref="W3:AC3"/>
    <mergeCell ref="W15:AC15"/>
    <mergeCell ref="W8:A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DFEB-7652-4C0C-A679-2CA1A5ABEC16}">
  <sheetPr>
    <tabColor theme="7" tint="0.79998168889431442"/>
  </sheetPr>
  <dimension ref="B1:AJ31"/>
  <sheetViews>
    <sheetView workbookViewId="0">
      <selection activeCell="AD29" sqref="AD29"/>
    </sheetView>
  </sheetViews>
  <sheetFormatPr defaultColWidth="11.42578125" defaultRowHeight="15" x14ac:dyDescent="0.25"/>
  <cols>
    <col min="1" max="1" width="2.7109375" style="1" customWidth="1"/>
    <col min="2" max="2" width="5.7109375" style="1" customWidth="1"/>
    <col min="3" max="3" width="11.42578125" style="1"/>
    <col min="4" max="4" width="5.7109375" style="1" customWidth="1"/>
    <col min="5" max="5" width="2.7109375" style="1" customWidth="1"/>
    <col min="6" max="6" width="5.7109375" style="1" customWidth="1"/>
    <col min="7" max="7" width="15.7109375" style="1" customWidth="1"/>
    <col min="8" max="8" width="5.7109375" style="1" customWidth="1"/>
    <col min="9" max="13" width="3.28515625" style="1" customWidth="1"/>
    <col min="14" max="14" width="15.7109375" style="1" customWidth="1"/>
    <col min="15" max="18" width="5.7109375" style="1" customWidth="1"/>
    <col min="19" max="19" width="15.7109375" style="1" customWidth="1"/>
    <col min="20" max="20" width="5.7109375" style="1" customWidth="1"/>
    <col min="21" max="21" width="11.42578125" style="1"/>
    <col min="22" max="22" width="15.7109375" style="1" customWidth="1"/>
    <col min="23" max="25" width="5.7109375" style="1" customWidth="1"/>
    <col min="26" max="26" width="15.7109375" style="1" customWidth="1"/>
    <col min="27" max="30" width="5.7109375" style="1" customWidth="1"/>
    <col min="31" max="31" width="15.7109375" style="1" customWidth="1"/>
    <col min="32" max="34" width="5.7109375" style="1" customWidth="1"/>
    <col min="35" max="35" width="15.7109375" style="1" customWidth="1"/>
    <col min="36" max="36" width="5.7109375" style="1" customWidth="1"/>
    <col min="37" max="16384" width="11.42578125" style="1"/>
  </cols>
  <sheetData>
    <row r="1" spans="2:36" ht="15.75" thickBot="1" x14ac:dyDescent="0.3"/>
    <row r="2" spans="2:36" ht="15.75" thickBot="1" x14ac:dyDescent="0.3">
      <c r="B2" s="150" t="s">
        <v>21</v>
      </c>
      <c r="C2" s="151"/>
      <c r="D2" s="152"/>
      <c r="F2" s="150" t="s">
        <v>147</v>
      </c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</row>
    <row r="3" spans="2:36" ht="15.75" thickBot="1" x14ac:dyDescent="0.3">
      <c r="B3" s="37"/>
      <c r="C3" s="38"/>
      <c r="D3" s="39"/>
      <c r="F3" s="40"/>
      <c r="AJ3" s="41"/>
    </row>
    <row r="4" spans="2:36" ht="15.75" thickBot="1" x14ac:dyDescent="0.3">
      <c r="B4" s="40"/>
      <c r="C4" s="72" t="s">
        <v>134</v>
      </c>
      <c r="D4" s="41"/>
      <c r="F4" s="40"/>
      <c r="G4" s="30" t="str">
        <f>IF(C5="","TBD",C5&amp;" (1)")</f>
        <v>TBD</v>
      </c>
      <c r="H4" s="144"/>
      <c r="AJ4" s="41"/>
    </row>
    <row r="5" spans="2:36" ht="15.75" thickBot="1" x14ac:dyDescent="0.3">
      <c r="B5" s="135">
        <v>1</v>
      </c>
      <c r="C5" s="32"/>
      <c r="D5" s="41"/>
      <c r="F5" s="40"/>
      <c r="I5" s="177" t="s">
        <v>137</v>
      </c>
      <c r="J5" s="178"/>
      <c r="K5" s="178"/>
      <c r="L5" s="178"/>
      <c r="M5" s="178"/>
      <c r="N5" s="30" t="str">
        <f>IF(H4="","TBD",IF(H4&gt;H6,G4,G6))</f>
        <v>TBD</v>
      </c>
      <c r="O5" s="144"/>
      <c r="AJ5" s="41"/>
    </row>
    <row r="6" spans="2:36" ht="15.75" thickBot="1" x14ac:dyDescent="0.3">
      <c r="B6" s="135">
        <v>2</v>
      </c>
      <c r="C6" s="12"/>
      <c r="D6" s="41"/>
      <c r="F6" s="40"/>
      <c r="G6" s="30" t="str">
        <f>IF(C12="","TBD",C12&amp;" (8)")</f>
        <v>TBD</v>
      </c>
      <c r="H6" s="144"/>
      <c r="J6" s="95"/>
      <c r="P6" s="95"/>
      <c r="AJ6" s="41"/>
    </row>
    <row r="7" spans="2:36" ht="15.75" thickBot="1" x14ac:dyDescent="0.3">
      <c r="B7" s="135">
        <v>3</v>
      </c>
      <c r="C7" s="12"/>
      <c r="D7" s="41"/>
      <c r="F7" s="40"/>
      <c r="J7" s="95"/>
      <c r="P7" s="139" t="s">
        <v>139</v>
      </c>
      <c r="Q7" s="95"/>
      <c r="R7" s="95"/>
      <c r="S7" s="30" t="str">
        <f>IF(O5="","TBD",IF(O5&gt;O9,N5,N9))</f>
        <v>TBD</v>
      </c>
      <c r="T7" s="144"/>
      <c r="AJ7" s="41"/>
    </row>
    <row r="8" spans="2:36" ht="15.75" thickBot="1" x14ac:dyDescent="0.3">
      <c r="B8" s="135">
        <v>4</v>
      </c>
      <c r="C8" s="12"/>
      <c r="D8" s="41"/>
      <c r="F8" s="40"/>
      <c r="G8" s="30" t="str">
        <f>IF(C9="","TBD",C9&amp;" (5)")</f>
        <v>TBD</v>
      </c>
      <c r="H8" s="144"/>
      <c r="J8" s="95"/>
      <c r="P8" s="95"/>
      <c r="Q8" s="95"/>
      <c r="R8" s="95"/>
      <c r="U8" s="95"/>
      <c r="AJ8" s="41"/>
    </row>
    <row r="9" spans="2:36" ht="15.75" thickBot="1" x14ac:dyDescent="0.3">
      <c r="B9" s="135">
        <v>5</v>
      </c>
      <c r="C9" s="12"/>
      <c r="D9" s="41"/>
      <c r="F9" s="40"/>
      <c r="I9" s="177" t="s">
        <v>137</v>
      </c>
      <c r="J9" s="178"/>
      <c r="K9" s="178"/>
      <c r="L9" s="178"/>
      <c r="M9" s="178"/>
      <c r="N9" s="30" t="str">
        <f>IF(H8="","TBD",IF(H8&gt;H10,G8,G10))</f>
        <v>TBD</v>
      </c>
      <c r="O9" s="144"/>
      <c r="Q9" s="95"/>
      <c r="R9" s="95"/>
      <c r="U9" s="95"/>
      <c r="AD9" s="176" t="s">
        <v>144</v>
      </c>
      <c r="AE9" s="176"/>
      <c r="AF9" s="176"/>
      <c r="AG9" s="176"/>
      <c r="AJ9" s="41"/>
    </row>
    <row r="10" spans="2:36" ht="15.75" thickBot="1" x14ac:dyDescent="0.3">
      <c r="B10" s="135">
        <v>6</v>
      </c>
      <c r="C10" s="12"/>
      <c r="D10" s="41"/>
      <c r="F10" s="40"/>
      <c r="G10" s="30" t="str">
        <f>IF(C8="","TBD",C8&amp;" (4)")</f>
        <v>TBD</v>
      </c>
      <c r="H10" s="144"/>
      <c r="J10" s="95"/>
      <c r="K10" s="95"/>
      <c r="Q10" s="95"/>
      <c r="R10" s="95"/>
      <c r="U10" s="95"/>
      <c r="AD10" s="37"/>
      <c r="AE10" s="38"/>
      <c r="AF10" s="38"/>
      <c r="AG10" s="39"/>
      <c r="AJ10" s="41"/>
    </row>
    <row r="11" spans="2:36" ht="15.75" thickBot="1" x14ac:dyDescent="0.3">
      <c r="B11" s="135">
        <v>7</v>
      </c>
      <c r="C11" s="12"/>
      <c r="D11" s="41"/>
      <c r="F11" s="40"/>
      <c r="J11" s="95"/>
      <c r="K11" s="95"/>
      <c r="Q11" s="95"/>
      <c r="R11" s="95"/>
      <c r="U11" s="139" t="s">
        <v>146</v>
      </c>
      <c r="Y11" s="95"/>
      <c r="AD11" s="40"/>
      <c r="AE11" s="30" t="str">
        <f>IF(T7="","TBD",IF(T7&gt;T15,S7,S15))</f>
        <v>TBD</v>
      </c>
      <c r="AF11" s="144"/>
      <c r="AG11" s="41"/>
      <c r="AJ11" s="41"/>
    </row>
    <row r="12" spans="2:36" ht="15.75" thickBot="1" x14ac:dyDescent="0.3">
      <c r="B12" s="135">
        <v>8</v>
      </c>
      <c r="C12" s="13"/>
      <c r="D12" s="41"/>
      <c r="F12" s="40"/>
      <c r="G12" s="30" t="str">
        <f>IF(C7="","TBD",C7&amp;" (3)")</f>
        <v>TBD</v>
      </c>
      <c r="H12" s="144"/>
      <c r="J12" s="95"/>
      <c r="K12" s="95"/>
      <c r="Q12" s="95"/>
      <c r="R12" s="95"/>
      <c r="U12" s="95"/>
      <c r="Y12" s="95"/>
      <c r="AD12" s="40"/>
      <c r="AG12" s="141"/>
      <c r="AJ12" s="41"/>
    </row>
    <row r="13" spans="2:36" ht="15.75" thickBot="1" x14ac:dyDescent="0.3">
      <c r="B13" s="49"/>
      <c r="C13" s="45"/>
      <c r="D13" s="46"/>
      <c r="F13" s="40"/>
      <c r="I13" s="177" t="s">
        <v>137</v>
      </c>
      <c r="J13" s="178"/>
      <c r="K13" s="178"/>
      <c r="L13" s="178"/>
      <c r="M13" s="178"/>
      <c r="N13" s="30" t="str">
        <f>IF(H12="","TBD",IF(H12&gt;H14,G12,G14))</f>
        <v>TBD</v>
      </c>
      <c r="O13" s="144"/>
      <c r="Q13" s="95"/>
      <c r="R13" s="95"/>
      <c r="U13" s="95"/>
      <c r="Y13" s="95"/>
      <c r="AD13" s="40"/>
      <c r="AG13" s="141"/>
      <c r="AJ13" s="41"/>
    </row>
    <row r="14" spans="2:36" ht="15.75" thickBot="1" x14ac:dyDescent="0.3">
      <c r="F14" s="40"/>
      <c r="G14" s="30" t="str">
        <f>IF(C10="","TBD",C10&amp;" (6)")</f>
        <v>TBD</v>
      </c>
      <c r="H14" s="144"/>
      <c r="J14" s="95"/>
      <c r="K14" s="95"/>
      <c r="L14" s="95"/>
      <c r="P14" s="95"/>
      <c r="Q14" s="95"/>
      <c r="R14" s="95"/>
      <c r="U14" s="95"/>
      <c r="Y14" s="95"/>
      <c r="AD14" s="40"/>
      <c r="AG14" s="141"/>
      <c r="AJ14" s="41"/>
    </row>
    <row r="15" spans="2:36" ht="15.75" thickBot="1" x14ac:dyDescent="0.3">
      <c r="F15" s="40"/>
      <c r="J15" s="95"/>
      <c r="K15" s="95"/>
      <c r="L15" s="95"/>
      <c r="P15" s="139" t="s">
        <v>139</v>
      </c>
      <c r="Q15" s="95"/>
      <c r="R15" s="95"/>
      <c r="S15" s="30" t="str">
        <f>IF(O13="","TBD",IF(O13&gt;O17,N13,N17))</f>
        <v>TBD</v>
      </c>
      <c r="T15" s="144"/>
      <c r="Y15" s="95"/>
      <c r="AD15" s="40"/>
      <c r="AG15" s="141"/>
      <c r="AJ15" s="41"/>
    </row>
    <row r="16" spans="2:36" ht="15.75" thickBot="1" x14ac:dyDescent="0.3">
      <c r="F16" s="40"/>
      <c r="G16" s="30" t="str">
        <f>IF(C11="","TBD",C11&amp;" (7)")</f>
        <v>TBD</v>
      </c>
      <c r="H16" s="144"/>
      <c r="J16" s="95"/>
      <c r="K16" s="95"/>
      <c r="L16" s="95"/>
      <c r="P16" s="95"/>
      <c r="Q16" s="95"/>
      <c r="R16" s="95"/>
      <c r="Y16" s="95"/>
      <c r="AD16" s="40"/>
      <c r="AG16" s="141"/>
      <c r="AJ16" s="41"/>
    </row>
    <row r="17" spans="6:36" ht="15.75" thickBot="1" x14ac:dyDescent="0.3">
      <c r="F17" s="40"/>
      <c r="I17" s="177" t="s">
        <v>137</v>
      </c>
      <c r="J17" s="178"/>
      <c r="K17" s="178"/>
      <c r="L17" s="178"/>
      <c r="M17" s="178"/>
      <c r="N17" s="30" t="str">
        <f>IF(H16="","TBD",IF(H16&gt;H18,G16,G18))</f>
        <v>TBD</v>
      </c>
      <c r="O17" s="144"/>
      <c r="Q17" s="95"/>
      <c r="R17" s="95"/>
      <c r="Y17" s="95"/>
      <c r="AD17" s="40"/>
      <c r="AG17" s="142" t="s">
        <v>136</v>
      </c>
      <c r="AH17" s="140"/>
      <c r="AI17" s="33"/>
      <c r="AJ17" s="41"/>
    </row>
    <row r="18" spans="6:36" ht="15.75" thickBot="1" x14ac:dyDescent="0.3">
      <c r="F18" s="40"/>
      <c r="G18" s="30" t="str">
        <f>IF(C6="","TBD",C6&amp;" (2)")</f>
        <v>TBD</v>
      </c>
      <c r="H18" s="144"/>
      <c r="J18" s="95"/>
      <c r="K18" s="95"/>
      <c r="L18" s="95"/>
      <c r="M18" s="95"/>
      <c r="Q18" s="95"/>
      <c r="R18" s="95"/>
      <c r="Y18" s="95"/>
      <c r="AD18" s="40"/>
      <c r="AG18" s="141"/>
      <c r="AJ18" s="41"/>
    </row>
    <row r="19" spans="6:36" ht="15.75" thickBot="1" x14ac:dyDescent="0.3">
      <c r="F19" s="40"/>
      <c r="J19" s="95"/>
      <c r="K19" s="95"/>
      <c r="L19" s="95"/>
      <c r="M19" s="95"/>
      <c r="Q19" s="95"/>
      <c r="R19" s="95"/>
      <c r="S19" s="176" t="s">
        <v>145</v>
      </c>
      <c r="T19" s="176"/>
      <c r="U19" s="176"/>
      <c r="V19" s="176"/>
      <c r="Y19" s="139"/>
      <c r="AD19" s="40"/>
      <c r="AG19" s="141"/>
      <c r="AJ19" s="41"/>
    </row>
    <row r="20" spans="6:36" ht="15.75" thickBot="1" x14ac:dyDescent="0.3">
      <c r="F20" s="40"/>
      <c r="I20" s="37"/>
      <c r="J20" s="145"/>
      <c r="K20" s="145"/>
      <c r="L20" s="145"/>
      <c r="M20" s="145"/>
      <c r="N20" s="38"/>
      <c r="O20" s="38"/>
      <c r="P20" s="38"/>
      <c r="Q20" s="145"/>
      <c r="R20" s="145"/>
      <c r="S20" s="38"/>
      <c r="T20" s="38"/>
      <c r="U20" s="38"/>
      <c r="V20" s="38"/>
      <c r="W20" s="38"/>
      <c r="X20" s="38"/>
      <c r="Y20" s="146"/>
      <c r="Z20" s="38"/>
      <c r="AA20" s="38"/>
      <c r="AB20" s="39"/>
      <c r="AD20" s="40"/>
      <c r="AG20" s="141"/>
      <c r="AJ20" s="41"/>
    </row>
    <row r="21" spans="6:36" ht="15.75" thickBot="1" x14ac:dyDescent="0.3">
      <c r="F21" s="40"/>
      <c r="I21" s="40"/>
      <c r="J21" s="95"/>
      <c r="K21" s="95"/>
      <c r="L21" s="95"/>
      <c r="M21" s="95"/>
      <c r="Q21" s="95"/>
      <c r="R21" s="95"/>
      <c r="Y21" s="139" t="s">
        <v>138</v>
      </c>
      <c r="Z21" s="30" t="str">
        <f>IF(T7="","TBD",IF(T7&lt;T15,S7,S15))</f>
        <v>TBD</v>
      </c>
      <c r="AA21" s="144"/>
      <c r="AB21" s="41"/>
      <c r="AD21" s="40"/>
      <c r="AG21" s="141"/>
      <c r="AJ21" s="41"/>
    </row>
    <row r="22" spans="6:36" ht="15.75" thickBot="1" x14ac:dyDescent="0.3">
      <c r="F22" s="40"/>
      <c r="I22" s="40"/>
      <c r="J22" s="95"/>
      <c r="K22" s="95"/>
      <c r="L22" s="95"/>
      <c r="M22" s="95"/>
      <c r="Q22" s="139"/>
      <c r="R22" s="139" t="s">
        <v>138</v>
      </c>
      <c r="S22" s="30" t="str">
        <f>IF(S15="TBD","TBD",IF(S15=N13,N17,N13))</f>
        <v>TBD</v>
      </c>
      <c r="T22" s="144"/>
      <c r="AB22" s="141"/>
      <c r="AD22" s="40"/>
      <c r="AG22" s="141"/>
      <c r="AJ22" s="41"/>
    </row>
    <row r="23" spans="6:36" ht="15.75" thickBot="1" x14ac:dyDescent="0.3">
      <c r="F23" s="40"/>
      <c r="I23" s="40"/>
      <c r="J23" s="139" t="s">
        <v>140</v>
      </c>
      <c r="K23" s="95"/>
      <c r="L23" s="95"/>
      <c r="M23" s="95"/>
      <c r="N23" s="30" t="str">
        <f>IF(N5="TBD","TBD",IF(N5=G4,G6,G4))</f>
        <v>TBD</v>
      </c>
      <c r="O23" s="144"/>
      <c r="Q23" s="95"/>
      <c r="U23" s="139" t="s">
        <v>136</v>
      </c>
      <c r="V23" s="30" t="str">
        <f>IF(T22="","TBD",IF(T22&gt;T24,S22,S24))</f>
        <v>TBD</v>
      </c>
      <c r="W23" s="144"/>
      <c r="AB23" s="142" t="s">
        <v>139</v>
      </c>
      <c r="AC23" s="140"/>
      <c r="AD23" s="143"/>
      <c r="AE23" s="30" t="str">
        <f>IF(AA21="","TBD",IF(AA21&gt;AA25,Z21,Z25))</f>
        <v>TBD</v>
      </c>
      <c r="AF23" s="144"/>
      <c r="AG23" s="41"/>
      <c r="AJ23" s="41"/>
    </row>
    <row r="24" spans="6:36" ht="15.75" thickBot="1" x14ac:dyDescent="0.3">
      <c r="F24" s="40"/>
      <c r="I24" s="40"/>
      <c r="K24" s="95"/>
      <c r="L24" s="95"/>
      <c r="M24" s="95"/>
      <c r="P24" s="139" t="s">
        <v>139</v>
      </c>
      <c r="Q24" s="95"/>
      <c r="R24" s="95"/>
      <c r="S24" s="30" t="str">
        <f>IF(O23="","TBD",IF(O23&gt;O25,N23,N25))</f>
        <v>TBD</v>
      </c>
      <c r="T24" s="144"/>
      <c r="X24" s="95"/>
      <c r="AB24" s="141"/>
      <c r="AD24" s="49"/>
      <c r="AE24" s="45"/>
      <c r="AF24" s="45"/>
      <c r="AG24" s="46"/>
      <c r="AJ24" s="41"/>
    </row>
    <row r="25" spans="6:36" ht="15.75" thickBot="1" x14ac:dyDescent="0.3">
      <c r="F25" s="40"/>
      <c r="I25" s="40"/>
      <c r="K25" s="139" t="s">
        <v>135</v>
      </c>
      <c r="L25" s="139"/>
      <c r="M25" s="95"/>
      <c r="N25" s="30" t="str">
        <f>IF(N9="TBD","TBD",IF(N9=G10,G8,G10))</f>
        <v>TBD</v>
      </c>
      <c r="O25" s="144"/>
      <c r="Q25" s="95"/>
      <c r="X25" s="139" t="s">
        <v>136</v>
      </c>
      <c r="Z25" s="30" t="str">
        <f>IF(W23="","TBD",IF(W23&gt;W27,V23,V27))</f>
        <v>TBD</v>
      </c>
      <c r="AA25" s="144"/>
      <c r="AB25" s="41"/>
      <c r="AJ25" s="41"/>
    </row>
    <row r="26" spans="6:36" ht="15.75" thickBot="1" x14ac:dyDescent="0.3">
      <c r="F26" s="40"/>
      <c r="I26" s="40"/>
      <c r="L26" s="95"/>
      <c r="M26" s="95"/>
      <c r="Q26" s="139" t="s">
        <v>141</v>
      </c>
      <c r="R26" s="140"/>
      <c r="S26" s="33" t="str">
        <f>IF(S7="TBD","TBD",IF(S7=N5,N9,N5))</f>
        <v>TBD</v>
      </c>
      <c r="T26" s="149"/>
      <c r="X26" s="95"/>
      <c r="AB26" s="41"/>
      <c r="AJ26" s="41"/>
    </row>
    <row r="27" spans="6:36" ht="15.75" thickBot="1" x14ac:dyDescent="0.3">
      <c r="F27" s="40"/>
      <c r="I27" s="40"/>
      <c r="L27" s="139" t="s">
        <v>143</v>
      </c>
      <c r="M27" s="95"/>
      <c r="N27" s="30" t="str">
        <f>IF(N13="TBD","TBD",IF(N13=G12,G14,G12))</f>
        <v>TBD</v>
      </c>
      <c r="O27" s="144"/>
      <c r="U27" s="139" t="s">
        <v>136</v>
      </c>
      <c r="V27" s="30" t="str">
        <f>IF(T26="","TBD",IF(T26&gt;T28,S26,S28))</f>
        <v>TBD</v>
      </c>
      <c r="W27" s="144"/>
      <c r="AB27" s="41"/>
      <c r="AJ27" s="41"/>
    </row>
    <row r="28" spans="6:36" ht="15.75" thickBot="1" x14ac:dyDescent="0.3">
      <c r="F28" s="40"/>
      <c r="I28" s="40"/>
      <c r="M28" s="95"/>
      <c r="P28" s="139" t="s">
        <v>139</v>
      </c>
      <c r="S28" s="30" t="str">
        <f>IF(O27="","TBD",IF(O27&gt;O29,N27,N29))</f>
        <v>TBD</v>
      </c>
      <c r="T28" s="144"/>
      <c r="AB28" s="41"/>
      <c r="AJ28" s="41"/>
    </row>
    <row r="29" spans="6:36" ht="15.75" thickBot="1" x14ac:dyDescent="0.3">
      <c r="F29" s="40"/>
      <c r="I29" s="40"/>
      <c r="M29" s="139" t="s">
        <v>142</v>
      </c>
      <c r="N29" s="30" t="str">
        <f>IF(N17="TBD","TBD",IF(N17=G16,G18,G16))</f>
        <v>TBD</v>
      </c>
      <c r="O29" s="144"/>
      <c r="AB29" s="41"/>
      <c r="AJ29" s="41"/>
    </row>
    <row r="30" spans="6:36" ht="15.75" thickBot="1" x14ac:dyDescent="0.3">
      <c r="F30" s="40"/>
      <c r="I30" s="49"/>
      <c r="J30" s="45"/>
      <c r="K30" s="45"/>
      <c r="L30" s="45"/>
      <c r="M30" s="147"/>
      <c r="N30" s="45"/>
      <c r="O30" s="148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6"/>
      <c r="AJ30" s="41"/>
    </row>
    <row r="31" spans="6:36" ht="15.75" thickBot="1" x14ac:dyDescent="0.3">
      <c r="F31" s="49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6"/>
    </row>
  </sheetData>
  <mergeCells count="8">
    <mergeCell ref="B2:D2"/>
    <mergeCell ref="AD9:AG9"/>
    <mergeCell ref="S19:V19"/>
    <mergeCell ref="F2:AJ2"/>
    <mergeCell ref="I5:M5"/>
    <mergeCell ref="I9:M9"/>
    <mergeCell ref="I13:M13"/>
    <mergeCell ref="I17:M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B1B6-C242-4E46-8F13-5B969C738CF7}">
  <sheetPr>
    <tabColor theme="7" tint="0.79998168889431442"/>
  </sheetPr>
  <dimension ref="B1:AF37"/>
  <sheetViews>
    <sheetView workbookViewId="0">
      <selection activeCell="N23" sqref="N23"/>
    </sheetView>
  </sheetViews>
  <sheetFormatPr defaultColWidth="11.42578125" defaultRowHeight="15" x14ac:dyDescent="0.25"/>
  <cols>
    <col min="1" max="1" width="2.7109375" style="1" customWidth="1"/>
    <col min="2" max="2" width="5.7109375" style="1" customWidth="1"/>
    <col min="3" max="3" width="11.42578125" style="1"/>
    <col min="4" max="4" width="5.7109375" style="1" customWidth="1"/>
    <col min="5" max="5" width="2.7109375" style="1" customWidth="1"/>
    <col min="6" max="6" width="5.7109375" style="1" customWidth="1"/>
    <col min="7" max="9" width="11.42578125" style="1"/>
    <col min="10" max="10" width="5.7109375" style="1" customWidth="1"/>
    <col min="11" max="11" width="11.42578125" style="1"/>
    <col min="12" max="12" width="5.7109375" style="1" customWidth="1"/>
    <col min="13" max="13" width="3.7109375" style="1" customWidth="1"/>
    <col min="14" max="14" width="5.7109375" style="1" customWidth="1"/>
    <col min="15" max="15" width="11.42578125" style="1"/>
    <col min="16" max="16" width="5.7109375" style="1" customWidth="1"/>
    <col min="17" max="17" width="2.7109375" style="1" customWidth="1"/>
    <col min="18" max="18" width="3.7109375" style="9" customWidth="1"/>
    <col min="19" max="28" width="11.42578125" style="1"/>
    <col min="29" max="29" width="3.7109375" style="1" customWidth="1"/>
    <col min="30" max="30" width="2.7109375" style="1" customWidth="1"/>
    <col min="31" max="31" width="3.7109375" style="1" customWidth="1"/>
    <col min="32" max="16384" width="11.42578125" style="1"/>
  </cols>
  <sheetData>
    <row r="1" spans="2:32" ht="15.75" thickBot="1" x14ac:dyDescent="0.3"/>
    <row r="2" spans="2:32" ht="15.75" thickBot="1" x14ac:dyDescent="0.3">
      <c r="B2" s="150" t="s">
        <v>21</v>
      </c>
      <c r="C2" s="151"/>
      <c r="D2" s="152"/>
      <c r="F2" s="150" t="s">
        <v>19</v>
      </c>
      <c r="G2" s="151"/>
      <c r="H2" s="151"/>
      <c r="I2" s="151"/>
      <c r="J2" s="151"/>
      <c r="K2" s="151"/>
      <c r="L2" s="151"/>
      <c r="M2" s="151"/>
      <c r="N2" s="151"/>
      <c r="O2" s="151"/>
      <c r="P2" s="152"/>
      <c r="R2" s="150" t="s">
        <v>20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2"/>
      <c r="AE2" s="160" t="s">
        <v>22</v>
      </c>
      <c r="AF2" s="162"/>
    </row>
    <row r="3" spans="2:32" ht="15.75" thickBot="1" x14ac:dyDescent="0.3">
      <c r="B3" s="37"/>
      <c r="C3" s="38"/>
      <c r="D3" s="39"/>
      <c r="F3" s="37"/>
      <c r="G3" s="38"/>
      <c r="H3" s="38"/>
      <c r="I3" s="38"/>
      <c r="J3" s="38"/>
      <c r="K3" s="38"/>
      <c r="L3" s="38"/>
      <c r="M3" s="38"/>
      <c r="N3" s="38"/>
      <c r="O3" s="38"/>
      <c r="P3" s="47"/>
      <c r="R3" s="59"/>
      <c r="S3" s="38"/>
      <c r="T3" s="38"/>
      <c r="U3" s="38"/>
      <c r="V3" s="38"/>
      <c r="W3" s="38"/>
      <c r="X3" s="38"/>
      <c r="Y3" s="38"/>
      <c r="Z3" s="38"/>
      <c r="AA3" s="38"/>
      <c r="AB3" s="38"/>
      <c r="AC3" s="39"/>
      <c r="AE3" s="14">
        <v>1</v>
      </c>
      <c r="AF3" s="61" t="str">
        <f>AB16</f>
        <v/>
      </c>
    </row>
    <row r="4" spans="2:32" ht="15.75" thickBot="1" x14ac:dyDescent="0.3">
      <c r="B4" s="40"/>
      <c r="C4" s="33" t="s">
        <v>0</v>
      </c>
      <c r="D4" s="41"/>
      <c r="F4" s="40"/>
      <c r="K4" s="160" t="s">
        <v>4</v>
      </c>
      <c r="L4" s="161"/>
      <c r="M4" s="161"/>
      <c r="N4" s="161"/>
      <c r="O4" s="162"/>
      <c r="P4" s="41"/>
      <c r="R4" s="42"/>
      <c r="S4" s="172" t="s">
        <v>16</v>
      </c>
      <c r="T4" s="172"/>
      <c r="AC4" s="41"/>
      <c r="AE4" s="54">
        <v>2</v>
      </c>
      <c r="AF4" s="23" t="str">
        <f>IF(AB16=Y10,Y22,Y10)</f>
        <v/>
      </c>
    </row>
    <row r="5" spans="2:32" ht="15.75" thickBot="1" x14ac:dyDescent="0.3">
      <c r="B5" s="40"/>
      <c r="C5" s="32"/>
      <c r="D5" s="41"/>
      <c r="F5" s="40"/>
      <c r="G5" s="33" t="s">
        <v>1</v>
      </c>
      <c r="H5" s="58" t="s">
        <v>3</v>
      </c>
      <c r="I5" s="31" t="s">
        <v>7</v>
      </c>
      <c r="K5" s="53">
        <f>G6</f>
        <v>0</v>
      </c>
      <c r="L5" s="6"/>
      <c r="M5" s="179" t="s">
        <v>5</v>
      </c>
      <c r="N5" s="6"/>
      <c r="O5" s="29">
        <f>G7</f>
        <v>0</v>
      </c>
      <c r="P5" s="41"/>
      <c r="R5" s="42"/>
      <c r="S5" s="11" t="s">
        <v>0</v>
      </c>
      <c r="T5" s="11" t="s">
        <v>3</v>
      </c>
      <c r="AC5" s="41"/>
      <c r="AE5" s="54">
        <v>3</v>
      </c>
      <c r="AF5" s="23" t="str">
        <f>IF(Z29="","",IF(Z29&gt;Z31,Y29,Y31))</f>
        <v/>
      </c>
    </row>
    <row r="6" spans="2:32" ht="15.75" thickBot="1" x14ac:dyDescent="0.3">
      <c r="B6" s="40"/>
      <c r="C6" s="12"/>
      <c r="D6" s="41"/>
      <c r="F6" s="40"/>
      <c r="G6" s="32"/>
      <c r="H6" s="16">
        <f>IF(L5&gt;N5,$C$15,IF(L5=N5,$C$18,C21))+IF(L7&gt;N7,$C$15,IF(L7=N7,$C$18,C21))+IF(L9&gt;N9,$C$15,IF(L9=N9,$C$18,C21))</f>
        <v>0</v>
      </c>
      <c r="I6" s="17">
        <f>L5+L7+L9</f>
        <v>0</v>
      </c>
      <c r="K6" s="51">
        <f>G8</f>
        <v>0</v>
      </c>
      <c r="L6" s="5"/>
      <c r="M6" s="180"/>
      <c r="N6" s="5"/>
      <c r="O6" s="18">
        <f>G9</f>
        <v>0</v>
      </c>
      <c r="P6" s="41"/>
      <c r="R6" s="42"/>
      <c r="S6" s="34" t="str">
        <f>IF(I24="","",I24)</f>
        <v/>
      </c>
      <c r="T6" s="5"/>
      <c r="V6" s="154" t="s">
        <v>17</v>
      </c>
      <c r="W6" s="154"/>
      <c r="AC6" s="41"/>
      <c r="AE6" s="55">
        <v>4</v>
      </c>
      <c r="AF6" s="26" t="str">
        <f>IF(AF5=Y31,Y29,Y31)</f>
        <v/>
      </c>
    </row>
    <row r="7" spans="2:32" x14ac:dyDescent="0.25">
      <c r="B7" s="40"/>
      <c r="C7" s="12"/>
      <c r="D7" s="41"/>
      <c r="F7" s="40"/>
      <c r="G7" s="12"/>
      <c r="H7" s="51">
        <f>IF(N5&gt;L5,$C$15,IF(N5=L5,$C$18,$C$21))+IF(L8&gt;N8,$C$15,IF(L8=N8,$C$18,$C$21))+IF(L10&gt;N10,$C$15,IF(L10=N10,$C$18,$C$21))</f>
        <v>0</v>
      </c>
      <c r="I7" s="18">
        <f>N5+L8+L10</f>
        <v>0</v>
      </c>
      <c r="K7" s="51">
        <f>G6</f>
        <v>0</v>
      </c>
      <c r="L7" s="5"/>
      <c r="M7" s="180"/>
      <c r="N7" s="5"/>
      <c r="O7" s="18">
        <f>G8</f>
        <v>0</v>
      </c>
      <c r="P7" s="41"/>
      <c r="R7" s="42"/>
      <c r="S7" s="9"/>
      <c r="U7" s="35" t="str">
        <f>"------------------"</f>
        <v>------------------</v>
      </c>
      <c r="V7" s="34" t="str">
        <f>IF(T6="","",IF(T6&gt;T8,S6,S8))</f>
        <v/>
      </c>
      <c r="W7" s="5"/>
      <c r="AC7" s="41"/>
    </row>
    <row r="8" spans="2:32" x14ac:dyDescent="0.25">
      <c r="B8" s="40"/>
      <c r="C8" s="12"/>
      <c r="D8" s="41"/>
      <c r="F8" s="40"/>
      <c r="G8" s="12"/>
      <c r="H8" s="51">
        <f>IF(L6&gt;N6,$C$15,IF(L6=N6,$C$18,$C$21))+IF(L7&lt;N7,$C$15,IF(L7=N7,$C$18,$C$21))+IF(L10&lt;N10,$C$15,IF(L10=N10,$C$18,$C$21))</f>
        <v>0</v>
      </c>
      <c r="I8" s="18">
        <f>L6+N7+N10</f>
        <v>0</v>
      </c>
      <c r="K8" s="51">
        <f>G7</f>
        <v>0</v>
      </c>
      <c r="L8" s="5"/>
      <c r="M8" s="180"/>
      <c r="N8" s="5"/>
      <c r="O8" s="18">
        <f>G9</f>
        <v>0</v>
      </c>
      <c r="P8" s="41"/>
      <c r="R8" s="42"/>
      <c r="S8" s="34" t="str">
        <f>IF(I32="","",I32)</f>
        <v/>
      </c>
      <c r="T8" s="5"/>
      <c r="X8" s="35"/>
      <c r="Y8" s="172"/>
      <c r="Z8" s="172"/>
      <c r="AC8" s="41"/>
    </row>
    <row r="9" spans="2:32" ht="15.75" thickBot="1" x14ac:dyDescent="0.3">
      <c r="B9" s="40"/>
      <c r="C9" s="12"/>
      <c r="D9" s="41"/>
      <c r="F9" s="40"/>
      <c r="G9" s="13"/>
      <c r="H9" s="52">
        <f>IF(N6&gt;L6,$C$15,IF(N6=L6,$C$18,$C$21))+IF(N8&gt;L8,$C$15,IF(N8=L8,$C$18,$C$21))+IF(N9&gt;L9,$C$15,IF(N9=L9,$C$18,$C$21))</f>
        <v>0</v>
      </c>
      <c r="I9" s="19">
        <f>N6+N8+N9</f>
        <v>0</v>
      </c>
      <c r="K9" s="51">
        <f>G6</f>
        <v>0</v>
      </c>
      <c r="L9" s="5"/>
      <c r="M9" s="180"/>
      <c r="N9" s="5"/>
      <c r="O9" s="18">
        <f>G9</f>
        <v>0</v>
      </c>
      <c r="P9" s="41"/>
      <c r="R9" s="42"/>
      <c r="X9" s="35"/>
      <c r="Y9" s="154" t="s">
        <v>13</v>
      </c>
      <c r="Z9" s="154"/>
      <c r="AC9" s="41"/>
    </row>
    <row r="10" spans="2:32" ht="15.75" thickBot="1" x14ac:dyDescent="0.3">
      <c r="B10" s="40"/>
      <c r="C10" s="12"/>
      <c r="D10" s="41"/>
      <c r="F10" s="40"/>
      <c r="K10" s="52">
        <f>G7</f>
        <v>0</v>
      </c>
      <c r="L10" s="25"/>
      <c r="M10" s="181"/>
      <c r="N10" s="25"/>
      <c r="O10" s="19">
        <f>G8</f>
        <v>0</v>
      </c>
      <c r="P10" s="41"/>
      <c r="R10" s="42"/>
      <c r="X10" s="35" t="str">
        <f>"------------------"</f>
        <v>------------------</v>
      </c>
      <c r="Y10" s="34" t="str">
        <f>IF(W7="","",IF(W7&gt;W13,V7,V13))</f>
        <v/>
      </c>
      <c r="Z10" s="5"/>
      <c r="AC10" s="41"/>
    </row>
    <row r="11" spans="2:32" ht="15.75" thickBot="1" x14ac:dyDescent="0.3">
      <c r="B11" s="40"/>
      <c r="C11" s="12"/>
      <c r="D11" s="41"/>
      <c r="F11" s="40"/>
      <c r="P11" s="48"/>
      <c r="R11" s="42"/>
      <c r="X11" s="35"/>
      <c r="AA11" s="35"/>
      <c r="AC11" s="41"/>
    </row>
    <row r="12" spans="2:32" ht="15.75" thickBot="1" x14ac:dyDescent="0.3">
      <c r="B12" s="40"/>
      <c r="C12" s="13"/>
      <c r="D12" s="41"/>
      <c r="F12" s="40"/>
      <c r="K12" s="160" t="s">
        <v>6</v>
      </c>
      <c r="L12" s="161"/>
      <c r="M12" s="161"/>
      <c r="N12" s="161"/>
      <c r="O12" s="162"/>
      <c r="P12" s="41"/>
      <c r="R12" s="42"/>
      <c r="S12" s="34" t="str">
        <f>IF(I26="","",I26)</f>
        <v/>
      </c>
      <c r="T12" s="5"/>
      <c r="V12" s="172"/>
      <c r="W12" s="172"/>
      <c r="X12" s="35"/>
      <c r="AA12" s="35"/>
      <c r="AC12" s="41"/>
    </row>
    <row r="13" spans="2:32" ht="15.75" thickBot="1" x14ac:dyDescent="0.3">
      <c r="B13" s="40"/>
      <c r="D13" s="41"/>
      <c r="F13" s="40"/>
      <c r="G13" s="33" t="s">
        <v>2</v>
      </c>
      <c r="H13" s="58" t="s">
        <v>3</v>
      </c>
      <c r="I13" s="31" t="s">
        <v>7</v>
      </c>
      <c r="K13" s="53">
        <f>G14</f>
        <v>0</v>
      </c>
      <c r="L13" s="6"/>
      <c r="M13" s="179" t="s">
        <v>5</v>
      </c>
      <c r="N13" s="6"/>
      <c r="O13" s="29">
        <f>G15</f>
        <v>0</v>
      </c>
      <c r="P13" s="41"/>
      <c r="R13" s="42"/>
      <c r="S13" s="9"/>
      <c r="U13" s="35" t="str">
        <f>"------------------"</f>
        <v>------------------</v>
      </c>
      <c r="V13" s="34" t="str">
        <f>IF(T12="","",IF(T12&gt;T14,S12,S14))</f>
        <v/>
      </c>
      <c r="W13" s="5"/>
      <c r="AA13" s="35"/>
      <c r="AC13" s="41"/>
    </row>
    <row r="14" spans="2:32" x14ac:dyDescent="0.25">
      <c r="B14" s="40"/>
      <c r="C14" s="14" t="s">
        <v>8</v>
      </c>
      <c r="D14" s="41"/>
      <c r="F14" s="40"/>
      <c r="G14" s="32"/>
      <c r="H14" s="16">
        <f>IF(L13&gt;N13,$C$15,IF(L13=N13,$C$18,C29))+IF(L15&gt;N15,$C$15,IF(L15=N15,$C$18,C29))+IF(L17&gt;N17,$C$15,IF(L17=N17,$C$18,C29))</f>
        <v>0</v>
      </c>
      <c r="I14" s="17">
        <f>L13+L15+L17</f>
        <v>0</v>
      </c>
      <c r="K14" s="51">
        <f>G16</f>
        <v>0</v>
      </c>
      <c r="L14" s="5"/>
      <c r="M14" s="180"/>
      <c r="N14" s="5"/>
      <c r="O14" s="18">
        <f>G17</f>
        <v>0</v>
      </c>
      <c r="P14" s="41"/>
      <c r="R14" s="42"/>
      <c r="S14" s="34" t="str">
        <f>IF(I30="","",I30)</f>
        <v/>
      </c>
      <c r="T14" s="5"/>
      <c r="AA14" s="35"/>
      <c r="AC14" s="41"/>
    </row>
    <row r="15" spans="2:32" ht="15.75" thickBot="1" x14ac:dyDescent="0.3">
      <c r="B15" s="40"/>
      <c r="C15" s="15"/>
      <c r="D15" s="41"/>
      <c r="F15" s="40"/>
      <c r="G15" s="12"/>
      <c r="H15" s="51">
        <f>IF(N13&gt;L13,$C$15,IF(N13=L13,$C$18,$C$21))+IF(L16&gt;N16,$C$15,IF(L16=N16,$C$18,$C$21))+IF(L18&gt;N18,$C$15,IF(L18=N18,$C$18,$C$21))</f>
        <v>0</v>
      </c>
      <c r="I15" s="18">
        <f>N13+L16+L18</f>
        <v>0</v>
      </c>
      <c r="K15" s="51">
        <f>G14</f>
        <v>0</v>
      </c>
      <c r="L15" s="5"/>
      <c r="M15" s="180"/>
      <c r="N15" s="5"/>
      <c r="O15" s="18">
        <f>G16</f>
        <v>0</v>
      </c>
      <c r="P15" s="41"/>
      <c r="R15" s="42"/>
      <c r="AA15" s="35"/>
      <c r="AB15" s="1" t="s">
        <v>14</v>
      </c>
      <c r="AC15" s="41"/>
    </row>
    <row r="16" spans="2:32" ht="15.75" thickBot="1" x14ac:dyDescent="0.3">
      <c r="B16" s="40"/>
      <c r="C16" s="11"/>
      <c r="D16" s="41"/>
      <c r="F16" s="40"/>
      <c r="G16" s="12"/>
      <c r="H16" s="51">
        <f>IF(L14&gt;N14,$C$15,IF(L14=N14,$C$18,$C$21))+IF(L15&lt;N15,$C$15,IF(L15=N15,$C$18,$C$21))+IF(L18&lt;N18,$C$15,IF(L18=N18,$C$18,$C$21))</f>
        <v>0</v>
      </c>
      <c r="I16" s="18">
        <f>L14+N15+N18</f>
        <v>0</v>
      </c>
      <c r="K16" s="51">
        <f>G15</f>
        <v>0</v>
      </c>
      <c r="L16" s="5"/>
      <c r="M16" s="180"/>
      <c r="N16" s="5"/>
      <c r="O16" s="18">
        <f>G17</f>
        <v>0</v>
      </c>
      <c r="P16" s="41"/>
      <c r="R16" s="42"/>
      <c r="AA16" s="35" t="str">
        <f>"------------------"</f>
        <v>------------------</v>
      </c>
      <c r="AB16" s="33" t="str">
        <f>IF(Z10="","",IF(Z10&gt;Z22,Y10,Y22))</f>
        <v/>
      </c>
      <c r="AC16" s="41"/>
    </row>
    <row r="17" spans="2:29" ht="15.75" thickBot="1" x14ac:dyDescent="0.3">
      <c r="B17" s="40"/>
      <c r="C17" s="14" t="s">
        <v>9</v>
      </c>
      <c r="D17" s="41"/>
      <c r="F17" s="40"/>
      <c r="G17" s="13"/>
      <c r="H17" s="52">
        <f>IF(N14&gt;L14,$C$15,IF(N14=L14,$C$18,$C$21))+IF(N16&gt;L16,$C$15,IF(N16=L16,$C$18,$C$21))+IF(N17&gt;L17,$C$15,IF(N17=L17,$C$18,$C$21))</f>
        <v>0</v>
      </c>
      <c r="I17" s="19">
        <f>N14+N16+N17</f>
        <v>0</v>
      </c>
      <c r="K17" s="51">
        <f>G14</f>
        <v>0</v>
      </c>
      <c r="L17" s="5"/>
      <c r="M17" s="180"/>
      <c r="N17" s="5"/>
      <c r="O17" s="18">
        <f>G17</f>
        <v>0</v>
      </c>
      <c r="P17" s="41"/>
      <c r="R17" s="42"/>
      <c r="AA17" s="35"/>
      <c r="AC17" s="41"/>
    </row>
    <row r="18" spans="2:29" ht="15.75" thickBot="1" x14ac:dyDescent="0.3">
      <c r="B18" s="40"/>
      <c r="C18" s="15"/>
      <c r="D18" s="41"/>
      <c r="F18" s="40"/>
      <c r="K18" s="52">
        <f>G15</f>
        <v>0</v>
      </c>
      <c r="L18" s="25"/>
      <c r="M18" s="181"/>
      <c r="N18" s="25"/>
      <c r="O18" s="19">
        <f>G16</f>
        <v>0</v>
      </c>
      <c r="P18" s="41"/>
      <c r="R18" s="42"/>
      <c r="S18" s="34" t="str">
        <f>IF(I25="","",I25)</f>
        <v/>
      </c>
      <c r="T18" s="5"/>
      <c r="V18" s="56"/>
      <c r="W18" s="56"/>
      <c r="AA18" s="35"/>
      <c r="AC18" s="41"/>
    </row>
    <row r="19" spans="2:29" ht="15.75" thickBot="1" x14ac:dyDescent="0.3">
      <c r="B19" s="40"/>
      <c r="C19" s="11"/>
      <c r="D19" s="41"/>
      <c r="F19" s="40"/>
      <c r="P19" s="41"/>
      <c r="R19" s="42"/>
      <c r="S19" s="9"/>
      <c r="U19" s="35" t="str">
        <f>"------------------"</f>
        <v>------------------</v>
      </c>
      <c r="V19" s="34" t="str">
        <f>IF(T18="","",IF(T18&gt;T20,S18,S20))</f>
        <v/>
      </c>
      <c r="W19" s="5"/>
      <c r="AA19" s="35"/>
      <c r="AC19" s="41"/>
    </row>
    <row r="20" spans="2:29" x14ac:dyDescent="0.25">
      <c r="B20" s="40"/>
      <c r="C20" s="14" t="s">
        <v>10</v>
      </c>
      <c r="D20" s="41"/>
      <c r="F20" s="40"/>
      <c r="P20" s="41"/>
      <c r="R20" s="42"/>
      <c r="S20" s="34" t="str">
        <f>IF(I31="","",I31)</f>
        <v/>
      </c>
      <c r="T20" s="5"/>
      <c r="X20" s="35"/>
      <c r="AA20" s="35"/>
      <c r="AC20" s="41"/>
    </row>
    <row r="21" spans="2:29" ht="15.75" thickBot="1" x14ac:dyDescent="0.3">
      <c r="B21" s="40"/>
      <c r="C21" s="15"/>
      <c r="D21" s="41"/>
      <c r="F21" s="40"/>
      <c r="P21" s="41"/>
      <c r="R21" s="42"/>
      <c r="X21" s="35"/>
      <c r="AA21" s="35"/>
      <c r="AC21" s="41"/>
    </row>
    <row r="22" spans="2:29" ht="15.75" thickBot="1" x14ac:dyDescent="0.3">
      <c r="B22" s="49"/>
      <c r="C22" s="45"/>
      <c r="D22" s="46"/>
      <c r="F22" s="40"/>
      <c r="I22" s="150" t="s">
        <v>12</v>
      </c>
      <c r="J22" s="151"/>
      <c r="K22" s="152"/>
      <c r="P22" s="41"/>
      <c r="R22" s="42"/>
      <c r="X22" s="35" t="str">
        <f>"------------------"</f>
        <v>------------------</v>
      </c>
      <c r="Y22" s="34" t="str">
        <f>IF(W19="","",IF(W19&gt;W25,V19,V25))</f>
        <v/>
      </c>
      <c r="Z22" s="5"/>
      <c r="AC22" s="41"/>
    </row>
    <row r="23" spans="2:29" ht="15.75" thickBot="1" x14ac:dyDescent="0.3">
      <c r="F23" s="40"/>
      <c r="I23" s="182" t="s">
        <v>1</v>
      </c>
      <c r="J23" s="183"/>
      <c r="K23" s="184"/>
      <c r="P23" s="41"/>
      <c r="R23" s="42"/>
      <c r="X23" s="35"/>
      <c r="AC23" s="41"/>
    </row>
    <row r="24" spans="2:29" x14ac:dyDescent="0.25">
      <c r="F24" s="40"/>
      <c r="I24" s="163"/>
      <c r="J24" s="164"/>
      <c r="K24" s="165"/>
      <c r="P24" s="41"/>
      <c r="R24" s="42"/>
      <c r="S24" s="34" t="str">
        <f>IF(I27="","",I27)</f>
        <v/>
      </c>
      <c r="T24" s="5"/>
      <c r="V24" s="56"/>
      <c r="W24" s="56"/>
      <c r="X24" s="35"/>
      <c r="AC24" s="41"/>
    </row>
    <row r="25" spans="2:29" x14ac:dyDescent="0.25">
      <c r="F25" s="40"/>
      <c r="I25" s="166"/>
      <c r="J25" s="167"/>
      <c r="K25" s="168"/>
      <c r="P25" s="41"/>
      <c r="R25" s="42"/>
      <c r="S25" s="9"/>
      <c r="U25" s="35" t="str">
        <f>"------------------"</f>
        <v>------------------</v>
      </c>
      <c r="V25" s="34" t="str">
        <f>IF(T24="","",IF(T24&gt;T26,S24,S26))</f>
        <v/>
      </c>
      <c r="W25" s="5"/>
      <c r="AC25" s="41"/>
    </row>
    <row r="26" spans="2:29" x14ac:dyDescent="0.25">
      <c r="F26" s="40"/>
      <c r="I26" s="166"/>
      <c r="J26" s="167"/>
      <c r="K26" s="168"/>
      <c r="P26" s="41"/>
      <c r="R26" s="42"/>
      <c r="S26" s="34" t="str">
        <f>IF(I29="","",I29)</f>
        <v/>
      </c>
      <c r="T26" s="5"/>
      <c r="AC26" s="41"/>
    </row>
    <row r="27" spans="2:29" ht="15.75" thickBot="1" x14ac:dyDescent="0.3">
      <c r="F27" s="40"/>
      <c r="I27" s="157"/>
      <c r="J27" s="158"/>
      <c r="K27" s="159"/>
      <c r="P27" s="41"/>
      <c r="R27" s="42"/>
      <c r="AC27" s="41"/>
    </row>
    <row r="28" spans="2:29" ht="15.75" thickBot="1" x14ac:dyDescent="0.3">
      <c r="F28" s="40"/>
      <c r="I28" s="150" t="s">
        <v>2</v>
      </c>
      <c r="J28" s="151"/>
      <c r="K28" s="152"/>
      <c r="P28" s="41"/>
      <c r="R28" s="42"/>
      <c r="Y28" s="154" t="s">
        <v>15</v>
      </c>
      <c r="Z28" s="154"/>
      <c r="AC28" s="41"/>
    </row>
    <row r="29" spans="2:29" x14ac:dyDescent="0.25">
      <c r="F29" s="40"/>
      <c r="I29" s="163"/>
      <c r="J29" s="164"/>
      <c r="K29" s="165"/>
      <c r="P29" s="41"/>
      <c r="R29" s="42"/>
      <c r="Y29" s="34" t="str">
        <f>IF(W7="","",IF(Y10=V7,V13,V7))</f>
        <v/>
      </c>
      <c r="Z29" s="5"/>
      <c r="AC29" s="41"/>
    </row>
    <row r="30" spans="2:29" x14ac:dyDescent="0.25">
      <c r="F30" s="40"/>
      <c r="I30" s="166"/>
      <c r="J30" s="167"/>
      <c r="K30" s="168"/>
      <c r="P30" s="41"/>
      <c r="R30" s="42"/>
      <c r="Y30" s="9"/>
      <c r="AC30" s="41"/>
    </row>
    <row r="31" spans="2:29" x14ac:dyDescent="0.25">
      <c r="F31" s="40"/>
      <c r="I31" s="166"/>
      <c r="J31" s="167"/>
      <c r="K31" s="168"/>
      <c r="P31" s="41"/>
      <c r="R31" s="42"/>
      <c r="Y31" s="34" t="str">
        <f>IF(Y22="","",IF(Y22=V19,V25,V19))</f>
        <v/>
      </c>
      <c r="Z31" s="5"/>
      <c r="AC31" s="41"/>
    </row>
    <row r="32" spans="2:29" ht="15.75" thickBot="1" x14ac:dyDescent="0.3">
      <c r="F32" s="40"/>
      <c r="I32" s="157"/>
      <c r="J32" s="158"/>
      <c r="K32" s="159"/>
      <c r="P32" s="41"/>
      <c r="R32" s="42"/>
      <c r="AC32" s="41"/>
    </row>
    <row r="33" spans="2:29" ht="15.75" thickBot="1" x14ac:dyDescent="0.3">
      <c r="F33" s="49"/>
      <c r="G33" s="45"/>
      <c r="H33" s="45"/>
      <c r="I33" s="45"/>
      <c r="J33" s="45"/>
      <c r="K33" s="45"/>
      <c r="L33" s="45"/>
      <c r="M33" s="45"/>
      <c r="N33" s="45"/>
      <c r="O33" s="45"/>
      <c r="P33" s="46"/>
      <c r="R33" s="44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6"/>
    </row>
    <row r="37" spans="2:29" x14ac:dyDescent="0.25">
      <c r="B37" s="7"/>
      <c r="C37" s="8" t="s">
        <v>11</v>
      </c>
      <c r="E37" s="8"/>
    </row>
  </sheetData>
  <protectedRanges>
    <protectedRange algorithmName="SHA-512" hashValue="DFEKZkfjwVaa91rcPUWznniPfdWvpWyZu9h/X6L9ECdOV+PpGmEH1EKuJa6LysfnP5hwlJ+wWn1ZKHji/qoMZA==" saltValue="/iI4DYz0TEGm/Cjtm+aeug==" spinCount="100000" sqref="C15 C18 C21" name="Saissable6"/>
    <protectedRange algorithmName="SHA-512" hashValue="DFEKZkfjwVaa91rcPUWznniPfdWvpWyZu9h/X6L9ECdOV+PpGmEH1EKuJa6LysfnP5hwlJ+wWn1ZKHji/qoMZA==" saltValue="/iI4DYz0TEGm/Cjtm+aeug==" spinCount="100000" sqref="G6:G8 L5:L10 N5:N10 G14:G16 L13:L18 N13:N18" name="Saissable6_1"/>
    <protectedRange algorithmName="SHA-512" hashValue="DFEKZkfjwVaa91rcPUWznniPfdWvpWyZu9h/X6L9ECdOV+PpGmEH1EKuJa6LysfnP5hwlJ+wWn1ZKHji/qoMZA==" saltValue="/iI4DYz0TEGm/Cjtm+aeug==" spinCount="100000" sqref="T6 T8 T12 T14 T18 T20 T24 T26 Z29 Z31" name="Saissable6_2"/>
    <protectedRange algorithmName="SHA-512" hashValue="DFEKZkfjwVaa91rcPUWznniPfdWvpWyZu9h/X6L9ECdOV+PpGmEH1EKuJa6LysfnP5hwlJ+wWn1ZKHji/qoMZA==" saltValue="/iI4DYz0TEGm/Cjtm+aeug==" spinCount="100000" sqref="W7 W13 W19 W25 Z10 Z22" name="Saissable6_3"/>
    <protectedRange algorithmName="SHA-512" hashValue="DFEKZkfjwVaa91rcPUWznniPfdWvpWyZu9h/X6L9ECdOV+PpGmEH1EKuJa6LysfnP5hwlJ+wWn1ZKHji/qoMZA==" saltValue="/iI4DYz0TEGm/Cjtm+aeug==" spinCount="100000" sqref="I24:K26 I29:K31" name="Saissable6_4"/>
  </protectedRanges>
  <mergeCells count="25">
    <mergeCell ref="I29:K29"/>
    <mergeCell ref="I30:K30"/>
    <mergeCell ref="I31:K31"/>
    <mergeCell ref="I32:K32"/>
    <mergeCell ref="AE2:AF2"/>
    <mergeCell ref="Y28:Z28"/>
    <mergeCell ref="I22:K22"/>
    <mergeCell ref="I23:K23"/>
    <mergeCell ref="I24:K24"/>
    <mergeCell ref="I25:K25"/>
    <mergeCell ref="I26:K26"/>
    <mergeCell ref="I27:K27"/>
    <mergeCell ref="I28:K28"/>
    <mergeCell ref="V12:W12"/>
    <mergeCell ref="Y9:Z9"/>
    <mergeCell ref="R2:AC2"/>
    <mergeCell ref="S4:T4"/>
    <mergeCell ref="V6:W6"/>
    <mergeCell ref="Y8:Z8"/>
    <mergeCell ref="M13:M18"/>
    <mergeCell ref="B2:D2"/>
    <mergeCell ref="F2:P2"/>
    <mergeCell ref="K4:O4"/>
    <mergeCell ref="M5:M10"/>
    <mergeCell ref="K12:O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0AB7-BB64-42C8-826E-E346AB4F881A}">
  <sheetPr>
    <tabColor theme="8" tint="0.79998168889431442"/>
  </sheetPr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F6B7-C93A-4F13-A5B6-81B255203CE8}">
  <sheetPr>
    <tabColor theme="9" tint="0.79998168889431442"/>
  </sheetPr>
  <dimension ref="B1:AG36"/>
  <sheetViews>
    <sheetView workbookViewId="0">
      <selection activeCell="K29" sqref="K29"/>
    </sheetView>
  </sheetViews>
  <sheetFormatPr defaultColWidth="11.42578125" defaultRowHeight="15" x14ac:dyDescent="0.25"/>
  <cols>
    <col min="1" max="1" width="3.7109375" style="1" customWidth="1"/>
    <col min="2" max="2" width="5.7109375" style="1" customWidth="1"/>
    <col min="3" max="3" width="17.140625" style="11" bestFit="1" customWidth="1"/>
    <col min="4" max="4" width="5.7109375" style="1" customWidth="1"/>
    <col min="5" max="5" width="3.7109375" style="1" customWidth="1"/>
    <col min="6" max="6" width="5.7109375" style="1" customWidth="1"/>
    <col min="7" max="7" width="17.140625" style="1" bestFit="1" customWidth="1"/>
    <col min="8" max="8" width="9.5703125" style="1" bestFit="1" customWidth="1"/>
    <col min="9" max="9" width="8.28515625" style="1" bestFit="1" customWidth="1"/>
    <col min="10" max="10" width="5.7109375" style="1" customWidth="1"/>
    <col min="11" max="11" width="17.140625" style="1" bestFit="1" customWidth="1"/>
    <col min="12" max="12" width="5.7109375" style="1" customWidth="1"/>
    <col min="13" max="13" width="7.7109375" style="11" customWidth="1"/>
    <col min="14" max="14" width="5.7109375" style="1" customWidth="1"/>
    <col min="15" max="15" width="17.140625" style="9" bestFit="1" customWidth="1"/>
    <col min="16" max="16" width="5.7109375" style="1" customWidth="1"/>
    <col min="17" max="17" width="3.7109375" style="1" customWidth="1"/>
    <col min="18" max="18" width="5.7109375" style="1" customWidth="1"/>
    <col min="19" max="19" width="18.7109375" style="1" bestFit="1" customWidth="1"/>
    <col min="20" max="20" width="5.7109375" style="1" customWidth="1"/>
    <col min="21" max="22" width="3.7109375" style="1" customWidth="1"/>
    <col min="23" max="29" width="11.42578125" style="1"/>
    <col min="30" max="30" width="3.7109375" style="1" customWidth="1"/>
    <col min="31" max="16384" width="11.42578125" style="1"/>
  </cols>
  <sheetData>
    <row r="1" spans="2:33" ht="15.75" thickBot="1" x14ac:dyDescent="0.3"/>
    <row r="2" spans="2:33" ht="15.75" thickBot="1" x14ac:dyDescent="0.3">
      <c r="B2" s="37"/>
      <c r="C2" s="60"/>
      <c r="D2" s="39"/>
      <c r="F2" s="150" t="s">
        <v>40</v>
      </c>
      <c r="G2" s="151"/>
      <c r="H2" s="151"/>
      <c r="I2" s="151"/>
      <c r="J2" s="151"/>
      <c r="K2" s="151"/>
      <c r="L2" s="151"/>
      <c r="M2" s="151"/>
      <c r="N2" s="151"/>
      <c r="O2" s="151"/>
      <c r="P2" s="152"/>
      <c r="R2" s="150" t="s">
        <v>39</v>
      </c>
      <c r="S2" s="151"/>
      <c r="T2" s="152"/>
      <c r="V2" s="150" t="s">
        <v>20</v>
      </c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2"/>
    </row>
    <row r="3" spans="2:33" ht="15.75" thickBot="1" x14ac:dyDescent="0.3">
      <c r="B3" s="40"/>
      <c r="C3" s="72" t="s">
        <v>31</v>
      </c>
      <c r="D3" s="41"/>
      <c r="F3" s="37"/>
      <c r="G3" s="38"/>
      <c r="H3" s="38"/>
      <c r="I3" s="38"/>
      <c r="J3" s="38"/>
      <c r="K3" s="38"/>
      <c r="L3" s="38"/>
      <c r="M3" s="60"/>
      <c r="N3" s="38"/>
      <c r="O3" s="85"/>
      <c r="P3" s="39"/>
      <c r="R3" s="40"/>
      <c r="T3" s="41"/>
      <c r="V3" s="59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9"/>
    </row>
    <row r="4" spans="2:33" ht="15.75" thickBot="1" x14ac:dyDescent="0.3">
      <c r="B4" s="40">
        <v>1</v>
      </c>
      <c r="C4" s="76"/>
      <c r="D4" s="41"/>
      <c r="F4" s="40"/>
      <c r="K4" s="187" t="s">
        <v>4</v>
      </c>
      <c r="L4" s="188"/>
      <c r="M4" s="188"/>
      <c r="N4" s="188"/>
      <c r="O4" s="189"/>
      <c r="P4" s="41"/>
      <c r="R4" s="40"/>
      <c r="S4" s="33" t="s">
        <v>37</v>
      </c>
      <c r="T4" s="41"/>
      <c r="V4" s="42"/>
      <c r="W4" s="172" t="s">
        <v>16</v>
      </c>
      <c r="X4" s="172"/>
      <c r="AG4" s="41"/>
    </row>
    <row r="5" spans="2:33" ht="15.75" thickBot="1" x14ac:dyDescent="0.3">
      <c r="B5" s="40">
        <v>2</v>
      </c>
      <c r="C5" s="76"/>
      <c r="D5" s="41"/>
      <c r="F5" s="40"/>
      <c r="G5" s="33" t="s">
        <v>1</v>
      </c>
      <c r="H5" s="58" t="s">
        <v>3</v>
      </c>
      <c r="I5" s="31" t="s">
        <v>7</v>
      </c>
      <c r="K5" s="16">
        <f>G6</f>
        <v>0</v>
      </c>
      <c r="L5" s="67"/>
      <c r="M5" s="101">
        <f>$C$29</f>
        <v>20.833333333333332</v>
      </c>
      <c r="N5" s="67"/>
      <c r="O5" s="17">
        <f>G7</f>
        <v>0</v>
      </c>
      <c r="P5" s="41"/>
      <c r="R5" s="40"/>
      <c r="S5" s="100"/>
      <c r="T5" s="41"/>
      <c r="V5" s="42"/>
      <c r="W5" s="11" t="s">
        <v>0</v>
      </c>
      <c r="X5" s="11" t="s">
        <v>3</v>
      </c>
      <c r="AG5" s="41"/>
    </row>
    <row r="6" spans="2:33" x14ac:dyDescent="0.25">
      <c r="B6" s="40">
        <v>3</v>
      </c>
      <c r="C6" s="76"/>
      <c r="D6" s="41"/>
      <c r="F6" s="40"/>
      <c r="G6" s="32"/>
      <c r="H6" s="16">
        <f>IF(L5&gt;N5,$C$15,IF(L5=N5,$C$18,C20))+IF(L7&gt;N7,$C$15,IF(L7=N7,$C$18,C20))+IF(L9&gt;N9,$C$15,IF(L9=N9,$C$18,C20))</f>
        <v>0</v>
      </c>
      <c r="I6" s="17">
        <f>L5+L7+L9-N5-N7-N9</f>
        <v>0</v>
      </c>
      <c r="K6" s="51">
        <f>G8</f>
        <v>0</v>
      </c>
      <c r="L6" s="5"/>
      <c r="M6" s="102">
        <f>M5+$C$32+$C$35</f>
        <v>40.848611111111111</v>
      </c>
      <c r="N6" s="5"/>
      <c r="O6" s="18">
        <f>G9</f>
        <v>0</v>
      </c>
      <c r="P6" s="41"/>
      <c r="R6" s="40"/>
      <c r="S6" s="99"/>
      <c r="T6" s="41"/>
      <c r="V6" s="42"/>
      <c r="W6" s="34"/>
      <c r="X6" s="5"/>
      <c r="Z6" s="154" t="s">
        <v>17</v>
      </c>
      <c r="AA6" s="154"/>
      <c r="AG6" s="41"/>
    </row>
    <row r="7" spans="2:33" x14ac:dyDescent="0.25">
      <c r="B7" s="40">
        <v>4</v>
      </c>
      <c r="C7" s="76"/>
      <c r="D7" s="41"/>
      <c r="F7" s="40"/>
      <c r="G7" s="12"/>
      <c r="H7" s="51">
        <f>IF(N5&gt;L5,$C$15,IF(N5=L5,$C$18,$C$21))+IF(L8&gt;N8,$C$15,IF(L8=N8,$C$18,$C$21))+IF(L10&gt;N10,$C$15,IF(L10=N10,$C$18,$C$21))</f>
        <v>0</v>
      </c>
      <c r="I7" s="18">
        <f>N5+L8+L10-N8-L5-N10</f>
        <v>0</v>
      </c>
      <c r="K7" s="51">
        <f>G6</f>
        <v>0</v>
      </c>
      <c r="L7" s="5"/>
      <c r="M7" s="102">
        <f t="shared" ref="M7:M10" si="0">M6+$C$32+$C$35</f>
        <v>60.863888888888887</v>
      </c>
      <c r="N7" s="5"/>
      <c r="O7" s="18">
        <f>G8</f>
        <v>0</v>
      </c>
      <c r="P7" s="41"/>
      <c r="R7" s="40"/>
      <c r="S7" s="12"/>
      <c r="T7" s="41"/>
      <c r="V7" s="42"/>
      <c r="W7" s="185">
        <f>$M$26+$C$35*5+$C$32</f>
        <v>180.93055555555551</v>
      </c>
      <c r="X7" s="186"/>
      <c r="Y7" s="35" t="str">
        <f>"------------------"</f>
        <v>------------------</v>
      </c>
      <c r="Z7" s="34" t="str">
        <f>IF(X6="","",IF(X6&gt;X8,W6,W8))</f>
        <v/>
      </c>
      <c r="AA7" s="5"/>
      <c r="AG7" s="41"/>
    </row>
    <row r="8" spans="2:33" ht="15.75" thickBot="1" x14ac:dyDescent="0.3">
      <c r="B8" s="40">
        <v>5</v>
      </c>
      <c r="C8" s="76"/>
      <c r="D8" s="41"/>
      <c r="F8" s="40"/>
      <c r="G8" s="12"/>
      <c r="H8" s="51">
        <f>IF(L6&gt;N6,$C$15,IF(L6=N6,$C$18,$C$21))+IF(L7&lt;N7,$C$15,IF(L7=N7,$C$18,$C$21))+IF(L10&lt;N10,$C$15,IF(L10=N10,$C$18,$C$21))</f>
        <v>0</v>
      </c>
      <c r="I8" s="18">
        <f>L6+N7+N10-L10-L7-N6</f>
        <v>0</v>
      </c>
      <c r="K8" s="51">
        <f>G7</f>
        <v>0</v>
      </c>
      <c r="L8" s="5"/>
      <c r="M8" s="102">
        <f t="shared" si="0"/>
        <v>80.879166666666663</v>
      </c>
      <c r="N8" s="5"/>
      <c r="O8" s="18">
        <f>G9</f>
        <v>0</v>
      </c>
      <c r="P8" s="41"/>
      <c r="R8" s="40"/>
      <c r="S8" s="91"/>
      <c r="T8" s="41"/>
      <c r="V8" s="42"/>
      <c r="W8" s="34"/>
      <c r="X8" s="5"/>
      <c r="AB8" s="35"/>
      <c r="AC8" s="172"/>
      <c r="AD8" s="172"/>
      <c r="AG8" s="41"/>
    </row>
    <row r="9" spans="2:33" ht="15.75" thickBot="1" x14ac:dyDescent="0.3">
      <c r="B9" s="40">
        <v>6</v>
      </c>
      <c r="C9" s="76"/>
      <c r="D9" s="41"/>
      <c r="F9" s="40"/>
      <c r="G9" s="13"/>
      <c r="H9" s="52">
        <f>IF(N6&gt;L6,$C$15,IF(N6=L6,$C$18,$C$21))+IF(N8&gt;L8,$C$15,IF(N8=L8,$C$18,$C$21))+IF(N9&gt;L9,$C$15,IF(N9=L9,$C$18,$C$21))</f>
        <v>0</v>
      </c>
      <c r="I9" s="19">
        <f>N6+N8+N9-L9-L8-L6</f>
        <v>0</v>
      </c>
      <c r="K9" s="51">
        <f>G6</f>
        <v>0</v>
      </c>
      <c r="L9" s="5"/>
      <c r="M9" s="102">
        <f t="shared" si="0"/>
        <v>100.89444444444443</v>
      </c>
      <c r="N9" s="5"/>
      <c r="O9" s="18">
        <f>G9</f>
        <v>0</v>
      </c>
      <c r="P9" s="41"/>
      <c r="R9" s="40"/>
      <c r="T9" s="41"/>
      <c r="V9" s="42"/>
      <c r="AB9" s="35"/>
      <c r="AC9" s="154" t="s">
        <v>13</v>
      </c>
      <c r="AD9" s="154"/>
      <c r="AG9" s="41"/>
    </row>
    <row r="10" spans="2:33" ht="15.75" thickBot="1" x14ac:dyDescent="0.3">
      <c r="B10" s="40">
        <v>7</v>
      </c>
      <c r="C10" s="76"/>
      <c r="D10" s="41"/>
      <c r="F10" s="40"/>
      <c r="K10" s="52">
        <f>G7</f>
        <v>0</v>
      </c>
      <c r="L10" s="25"/>
      <c r="M10" s="103">
        <f t="shared" si="0"/>
        <v>120.9097222222222</v>
      </c>
      <c r="N10" s="25"/>
      <c r="O10" s="19">
        <f>G8</f>
        <v>0</v>
      </c>
      <c r="P10" s="41"/>
      <c r="R10" s="40"/>
      <c r="S10" s="33" t="s">
        <v>38</v>
      </c>
      <c r="T10" s="41"/>
      <c r="V10" s="42"/>
      <c r="Z10" s="190">
        <f>$W$19+$C$32+$C$35</f>
        <v>220.96111111111108</v>
      </c>
      <c r="AA10" s="172"/>
      <c r="AB10" s="104" t="str">
        <f>"------------------"</f>
        <v>------------------</v>
      </c>
      <c r="AC10" s="34" t="str">
        <f>IF(AA7="","",IF(AA7&gt;AA13,Z7,Z13))</f>
        <v/>
      </c>
      <c r="AD10" s="5"/>
      <c r="AG10" s="41"/>
    </row>
    <row r="11" spans="2:33" ht="15.75" thickBot="1" x14ac:dyDescent="0.3">
      <c r="B11" s="40">
        <v>8</v>
      </c>
      <c r="C11" s="76"/>
      <c r="D11" s="41"/>
      <c r="F11" s="40"/>
      <c r="M11" s="1"/>
      <c r="O11" s="1"/>
      <c r="P11" s="41"/>
      <c r="R11" s="40"/>
      <c r="S11" s="100"/>
      <c r="T11" s="41"/>
      <c r="V11" s="42"/>
      <c r="AB11" s="35"/>
      <c r="AE11" s="35"/>
      <c r="AG11" s="41"/>
    </row>
    <row r="12" spans="2:33" ht="15.75" thickBot="1" x14ac:dyDescent="0.3">
      <c r="B12" s="40">
        <v>9</v>
      </c>
      <c r="C12" s="76"/>
      <c r="D12" s="41"/>
      <c r="F12" s="40"/>
      <c r="K12" s="182" t="s">
        <v>6</v>
      </c>
      <c r="L12" s="183"/>
      <c r="M12" s="183"/>
      <c r="N12" s="183"/>
      <c r="O12" s="184"/>
      <c r="P12" s="41"/>
      <c r="R12" s="40"/>
      <c r="S12" s="99"/>
      <c r="T12" s="41"/>
      <c r="V12" s="42"/>
      <c r="W12" s="34"/>
      <c r="X12" s="5"/>
      <c r="Z12" s="172"/>
      <c r="AA12" s="172"/>
      <c r="AB12" s="35"/>
      <c r="AE12" s="35"/>
      <c r="AG12" s="41"/>
    </row>
    <row r="13" spans="2:33" ht="15.75" thickBot="1" x14ac:dyDescent="0.3">
      <c r="B13" s="40">
        <v>10</v>
      </c>
      <c r="C13" s="76"/>
      <c r="D13" s="41"/>
      <c r="F13" s="40"/>
      <c r="G13" s="33" t="s">
        <v>2</v>
      </c>
      <c r="H13" s="58" t="s">
        <v>3</v>
      </c>
      <c r="I13" s="31" t="s">
        <v>7</v>
      </c>
      <c r="K13" s="16">
        <f>G14</f>
        <v>0</v>
      </c>
      <c r="L13" s="67"/>
      <c r="M13" s="101">
        <f>$C$29</f>
        <v>20.833333333333332</v>
      </c>
      <c r="N13" s="67"/>
      <c r="O13" s="17">
        <f>G15</f>
        <v>0</v>
      </c>
      <c r="P13" s="41"/>
      <c r="R13" s="40"/>
      <c r="S13" s="12"/>
      <c r="T13" s="41"/>
      <c r="V13" s="42"/>
      <c r="W13" s="185">
        <f>$M$26+$C$35*5+$C$32</f>
        <v>180.93055555555551</v>
      </c>
      <c r="X13" s="186"/>
      <c r="Y13" s="35" t="str">
        <f>"------------------"</f>
        <v>------------------</v>
      </c>
      <c r="Z13" s="34" t="str">
        <f>IF(X12="","",IF(X12&gt;X14,W12,W14))</f>
        <v/>
      </c>
      <c r="AA13" s="5"/>
      <c r="AE13" s="35"/>
      <c r="AG13" s="41"/>
    </row>
    <row r="14" spans="2:33" ht="15.75" thickBot="1" x14ac:dyDescent="0.3">
      <c r="B14" s="40">
        <v>11</v>
      </c>
      <c r="C14" s="76"/>
      <c r="D14" s="41"/>
      <c r="F14" s="40"/>
      <c r="G14" s="32"/>
      <c r="H14" s="16">
        <f>IF(L13&gt;N13,$C$15,IF(L13=N13,$C$18,C28))+IF(L15&gt;N15,$C$15,IF(L15=N15,$C$18,C28))+IF(L17&gt;N17,$C$15,IF(L17=N17,$C$18,C28))</f>
        <v>0</v>
      </c>
      <c r="I14" s="17">
        <f>L13+L15+L17-N13-N15-N17</f>
        <v>0</v>
      </c>
      <c r="K14" s="51">
        <f>G16</f>
        <v>0</v>
      </c>
      <c r="L14" s="5"/>
      <c r="M14" s="102">
        <f>M13+$C$32+$C$35</f>
        <v>40.848611111111111</v>
      </c>
      <c r="N14" s="5"/>
      <c r="O14" s="18">
        <f>G17</f>
        <v>0</v>
      </c>
      <c r="P14" s="41"/>
      <c r="R14" s="40"/>
      <c r="S14" s="91"/>
      <c r="T14" s="41"/>
      <c r="V14" s="42"/>
      <c r="W14" s="34"/>
      <c r="X14" s="5"/>
      <c r="AE14" s="35"/>
      <c r="AG14" s="41"/>
    </row>
    <row r="15" spans="2:33" ht="15.75" thickBot="1" x14ac:dyDescent="0.3">
      <c r="B15" s="40">
        <v>12</v>
      </c>
      <c r="C15" s="77"/>
      <c r="D15" s="41"/>
      <c r="F15" s="40"/>
      <c r="G15" s="12"/>
      <c r="H15" s="51">
        <f>IF(N13&gt;L13,$C$15,IF(N13=L13,$C$18,$C$21))+IF(L16&gt;N16,$C$15,IF(L16=N16,$C$18,$C$21))+IF(L18&gt;N18,$C$15,IF(L18=N18,$C$18,$C$21))</f>
        <v>0</v>
      </c>
      <c r="I15" s="18">
        <f>N13+L16+L18-N16-L13-N18</f>
        <v>0</v>
      </c>
      <c r="K15" s="51">
        <f>G14</f>
        <v>0</v>
      </c>
      <c r="L15" s="5"/>
      <c r="M15" s="102">
        <f t="shared" ref="M15:M18" si="1">M14+$C$32+$C$35</f>
        <v>60.863888888888887</v>
      </c>
      <c r="N15" s="5"/>
      <c r="O15" s="18">
        <f>G16</f>
        <v>0</v>
      </c>
      <c r="P15" s="41"/>
      <c r="R15" s="40"/>
      <c r="T15" s="41"/>
      <c r="V15" s="42"/>
      <c r="AE15" s="35"/>
      <c r="AF15" s="1" t="s">
        <v>14</v>
      </c>
      <c r="AG15" s="41"/>
    </row>
    <row r="16" spans="2:33" ht="15.75" thickBot="1" x14ac:dyDescent="0.3">
      <c r="B16" s="40"/>
      <c r="D16" s="41"/>
      <c r="F16" s="40"/>
      <c r="G16" s="12"/>
      <c r="H16" s="51">
        <f>IF(L14&gt;N14,$C$15,IF(L14=N14,$C$18,$C$21))+IF(L15&lt;N15,$C$15,IF(L15=N15,$C$18,$C$21))+IF(L18&lt;N18,$C$15,IF(L18=N18,$C$18,$C$21))</f>
        <v>0</v>
      </c>
      <c r="I16" s="18">
        <f>L14+N15+N18-L18-L15-N14</f>
        <v>0</v>
      </c>
      <c r="K16" s="51">
        <f>G15</f>
        <v>0</v>
      </c>
      <c r="L16" s="5"/>
      <c r="M16" s="102">
        <f t="shared" si="1"/>
        <v>80.879166666666663</v>
      </c>
      <c r="N16" s="5"/>
      <c r="O16" s="18">
        <f>G17</f>
        <v>0</v>
      </c>
      <c r="P16" s="41"/>
      <c r="R16" s="40"/>
      <c r="S16" s="33" t="s">
        <v>86</v>
      </c>
      <c r="T16" s="41"/>
      <c r="V16" s="42"/>
      <c r="AC16" s="190">
        <f>Z10+C32+C35</f>
        <v>240.97638888888886</v>
      </c>
      <c r="AD16" s="191"/>
      <c r="AE16" s="35" t="str">
        <f>"------------------"</f>
        <v>------------------</v>
      </c>
      <c r="AF16" s="33" t="str">
        <f>IF(AD10="","",IF(AD10&gt;AD22,AC10,AC22))</f>
        <v/>
      </c>
      <c r="AG16" s="41"/>
    </row>
    <row r="17" spans="2:33" ht="15.75" thickBot="1" x14ac:dyDescent="0.3">
      <c r="B17" s="40"/>
      <c r="C17" s="14" t="s">
        <v>32</v>
      </c>
      <c r="D17" s="41"/>
      <c r="F17" s="40"/>
      <c r="G17" s="13"/>
      <c r="H17" s="52">
        <f>IF(N14&gt;L14,$C$15,IF(N14=L14,$C$18,$C$21))+IF(N16&gt;L16,$C$15,IF(N16=L16,$C$18,$C$21))+IF(N17&gt;L17,$C$15,IF(N17=L17,$C$18,$C$21))</f>
        <v>0</v>
      </c>
      <c r="I17" s="19">
        <f>N14+N16+N17-L17-L16-L14</f>
        <v>0</v>
      </c>
      <c r="K17" s="51">
        <f>G14</f>
        <v>0</v>
      </c>
      <c r="L17" s="5"/>
      <c r="M17" s="102">
        <f t="shared" si="1"/>
        <v>100.89444444444443</v>
      </c>
      <c r="N17" s="5"/>
      <c r="O17" s="18">
        <f>G17</f>
        <v>0</v>
      </c>
      <c r="P17" s="41"/>
      <c r="R17" s="40"/>
      <c r="S17" s="100"/>
      <c r="T17" s="41"/>
      <c r="V17" s="42"/>
      <c r="AE17" s="35"/>
      <c r="AG17" s="41"/>
    </row>
    <row r="18" spans="2:33" ht="15.75" thickBot="1" x14ac:dyDescent="0.3">
      <c r="B18" s="40"/>
      <c r="C18" s="77"/>
      <c r="D18" s="41"/>
      <c r="F18" s="40"/>
      <c r="K18" s="52">
        <f>G15</f>
        <v>0</v>
      </c>
      <c r="L18" s="25"/>
      <c r="M18" s="103">
        <f t="shared" si="1"/>
        <v>120.9097222222222</v>
      </c>
      <c r="N18" s="25"/>
      <c r="O18" s="19">
        <f>G16</f>
        <v>0</v>
      </c>
      <c r="P18" s="41"/>
      <c r="R18" s="40"/>
      <c r="S18" s="99"/>
      <c r="T18" s="41"/>
      <c r="V18" s="42"/>
      <c r="W18" s="34"/>
      <c r="X18" s="5"/>
      <c r="Z18" s="56"/>
      <c r="AA18" s="56"/>
      <c r="AE18" s="35"/>
      <c r="AG18" s="41"/>
    </row>
    <row r="19" spans="2:33" ht="15.75" thickBot="1" x14ac:dyDescent="0.3">
      <c r="B19" s="40"/>
      <c r="D19" s="41"/>
      <c r="F19" s="40"/>
      <c r="M19" s="1"/>
      <c r="O19" s="1"/>
      <c r="P19" s="41"/>
      <c r="R19" s="40"/>
      <c r="S19" s="12"/>
      <c r="T19" s="41"/>
      <c r="V19" s="42"/>
      <c r="W19" s="185">
        <f>$W$7+$C$32+$C$35</f>
        <v>200.9458333333333</v>
      </c>
      <c r="X19" s="186"/>
      <c r="Y19" s="35" t="str">
        <f>"------------------"</f>
        <v>------------------</v>
      </c>
      <c r="Z19" s="34" t="str">
        <f>IF(X18="","",IF(X18&gt;X20,W18,W20))</f>
        <v/>
      </c>
      <c r="AA19" s="5"/>
      <c r="AE19" s="35"/>
      <c r="AG19" s="41"/>
    </row>
    <row r="20" spans="2:33" ht="15.75" thickBot="1" x14ac:dyDescent="0.3">
      <c r="B20" s="40"/>
      <c r="C20" s="14" t="s">
        <v>33</v>
      </c>
      <c r="D20" s="41"/>
      <c r="F20" s="40"/>
      <c r="K20" s="182" t="s">
        <v>23</v>
      </c>
      <c r="L20" s="183"/>
      <c r="M20" s="183"/>
      <c r="N20" s="183"/>
      <c r="O20" s="184"/>
      <c r="P20" s="41"/>
      <c r="R20" s="40"/>
      <c r="S20" s="91"/>
      <c r="T20" s="41"/>
      <c r="V20" s="42"/>
      <c r="W20" s="34"/>
      <c r="X20" s="5"/>
      <c r="AB20" s="35"/>
      <c r="AE20" s="35"/>
      <c r="AG20" s="41"/>
    </row>
    <row r="21" spans="2:33" ht="15.75" thickBot="1" x14ac:dyDescent="0.3">
      <c r="B21" s="40"/>
      <c r="C21" s="77"/>
      <c r="D21" s="41"/>
      <c r="F21" s="40"/>
      <c r="G21" s="33" t="s">
        <v>25</v>
      </c>
      <c r="H21" s="58" t="s">
        <v>3</v>
      </c>
      <c r="I21" s="31" t="s">
        <v>7</v>
      </c>
      <c r="K21" s="16">
        <f>G22</f>
        <v>0</v>
      </c>
      <c r="L21" s="67"/>
      <c r="M21" s="101">
        <f>$C$29</f>
        <v>20.833333333333332</v>
      </c>
      <c r="N21" s="67"/>
      <c r="O21" s="17">
        <f>G23</f>
        <v>0</v>
      </c>
      <c r="P21" s="41"/>
      <c r="R21" s="49"/>
      <c r="S21" s="45"/>
      <c r="T21" s="46"/>
      <c r="V21" s="42"/>
      <c r="AB21" s="35"/>
      <c r="AE21" s="35"/>
      <c r="AG21" s="41"/>
    </row>
    <row r="22" spans="2:33" ht="15.75" thickBot="1" x14ac:dyDescent="0.3">
      <c r="B22" s="40"/>
      <c r="D22" s="41"/>
      <c r="F22" s="40"/>
      <c r="G22" s="32"/>
      <c r="H22" s="16">
        <f>IF(L21&gt;N21,$C$15,IF(L21=N21,$C$18,C36))+IF(L23&gt;N23,$C$15,IF(L23=N23,$C$18,C36))+IF(L25&gt;N25,$C$15,IF(L25=N25,$C$18,C36))</f>
        <v>0</v>
      </c>
      <c r="I22" s="17">
        <f>L21+L23+L25-N21-N23-N25</f>
        <v>0</v>
      </c>
      <c r="K22" s="51">
        <f>G24</f>
        <v>0</v>
      </c>
      <c r="L22" s="5"/>
      <c r="M22" s="102">
        <f>M21+$C$32+$C$35</f>
        <v>40.848611111111111</v>
      </c>
      <c r="N22" s="5"/>
      <c r="O22" s="18">
        <f>G25</f>
        <v>0</v>
      </c>
      <c r="P22" s="41"/>
      <c r="V22" s="42"/>
      <c r="Z22" s="190">
        <f>$W$19+$C$32+$C$35</f>
        <v>220.96111111111108</v>
      </c>
      <c r="AA22" s="172"/>
      <c r="AB22" s="104" t="str">
        <f>"------------------"</f>
        <v>------------------</v>
      </c>
      <c r="AC22" s="34" t="str">
        <f>IF(AA19="","",IF(AA19&gt;AA25,Z19,Z25))</f>
        <v/>
      </c>
      <c r="AD22" s="5"/>
      <c r="AG22" s="41"/>
    </row>
    <row r="23" spans="2:33" x14ac:dyDescent="0.25">
      <c r="B23" s="40"/>
      <c r="C23" s="14" t="s">
        <v>34</v>
      </c>
      <c r="D23" s="41"/>
      <c r="F23" s="40"/>
      <c r="G23" s="12"/>
      <c r="H23" s="51">
        <f>IF(N21&gt;L21,$C$15,IF(N21=L21,$C$18,$C$21))+IF(L24&gt;N24,$C$15,IF(L24=N24,$C$18,$C$21))+IF(L26&gt;N26,$C$15,IF(L26=N26,$C$18,$C$21))</f>
        <v>0</v>
      </c>
      <c r="I23" s="18">
        <f>N21+L24+L26-N24-L21-N26</f>
        <v>0</v>
      </c>
      <c r="K23" s="51">
        <f>G22</f>
        <v>0</v>
      </c>
      <c r="L23" s="5"/>
      <c r="M23" s="102">
        <f t="shared" ref="M23:M26" si="2">M22+$C$32+$C$35</f>
        <v>60.863888888888887</v>
      </c>
      <c r="N23" s="5"/>
      <c r="O23" s="18">
        <f>G24</f>
        <v>0</v>
      </c>
      <c r="P23" s="41"/>
      <c r="V23" s="42"/>
      <c r="AB23" s="35"/>
      <c r="AG23" s="41"/>
    </row>
    <row r="24" spans="2:33" ht="15.75" thickBot="1" x14ac:dyDescent="0.3">
      <c r="B24" s="40"/>
      <c r="C24" s="77"/>
      <c r="D24" s="41"/>
      <c r="F24" s="40"/>
      <c r="G24" s="12"/>
      <c r="H24" s="51">
        <f>IF(L22&gt;N22,$C$15,IF(L22=N22,$C$18,$C$21))+IF(L23&lt;N23,$C$15,IF(L23=N23,$C$18,$C$21))+IF(L26&lt;N26,$C$15,IF(L26=N26,$C$18,$C$21))</f>
        <v>0</v>
      </c>
      <c r="I24" s="18">
        <f>L22+N23+N26-L26-L23-N22</f>
        <v>0</v>
      </c>
      <c r="K24" s="51">
        <f>G23</f>
        <v>0</v>
      </c>
      <c r="L24" s="5"/>
      <c r="M24" s="102">
        <f t="shared" si="2"/>
        <v>80.879166666666663</v>
      </c>
      <c r="N24" s="5"/>
      <c r="O24" s="18">
        <f>G25</f>
        <v>0</v>
      </c>
      <c r="P24" s="41"/>
      <c r="V24" s="42"/>
      <c r="W24" s="34"/>
      <c r="X24" s="5"/>
      <c r="Z24" s="56"/>
      <c r="AA24" s="56"/>
      <c r="AB24" s="35"/>
      <c r="AG24" s="41"/>
    </row>
    <row r="25" spans="2:33" ht="15.75" thickBot="1" x14ac:dyDescent="0.3">
      <c r="B25" s="49"/>
      <c r="C25" s="75"/>
      <c r="D25" s="46"/>
      <c r="F25" s="40"/>
      <c r="G25" s="13"/>
      <c r="H25" s="52">
        <f>IF(N22&gt;L22,$C$15,IF(N22=L22,$C$18,$C$21))+IF(N24&gt;L24,$C$15,IF(N24=L24,$C$18,$C$21))+IF(N25&gt;L25,$C$15,IF(N25=L25,$C$18,$C$21))</f>
        <v>0</v>
      </c>
      <c r="I25" s="19">
        <f>N22+N24+N25-L25-L24-L22</f>
        <v>0</v>
      </c>
      <c r="K25" s="51">
        <f>G22</f>
        <v>0</v>
      </c>
      <c r="L25" s="5"/>
      <c r="M25" s="102">
        <f t="shared" si="2"/>
        <v>100.89444444444443</v>
      </c>
      <c r="N25" s="5"/>
      <c r="O25" s="18">
        <f>G25</f>
        <v>0</v>
      </c>
      <c r="P25" s="41"/>
      <c r="V25" s="42"/>
      <c r="W25" s="185">
        <f>$W$7+$C$32+$C$35</f>
        <v>200.9458333333333</v>
      </c>
      <c r="X25" s="186"/>
      <c r="Y25" s="35" t="str">
        <f>"------------------"</f>
        <v>------------------</v>
      </c>
      <c r="Z25" s="34" t="str">
        <f>IF(X24="","",IF(X24&gt;X26,W24,W26))</f>
        <v/>
      </c>
      <c r="AA25" s="5"/>
      <c r="AG25" s="41"/>
    </row>
    <row r="26" spans="2:33" ht="15.75" thickBot="1" x14ac:dyDescent="0.3">
      <c r="F26" s="40"/>
      <c r="K26" s="52">
        <f>G23</f>
        <v>0</v>
      </c>
      <c r="L26" s="25"/>
      <c r="M26" s="103">
        <f t="shared" si="2"/>
        <v>120.9097222222222</v>
      </c>
      <c r="N26" s="25"/>
      <c r="O26" s="19">
        <f>G24</f>
        <v>0</v>
      </c>
      <c r="P26" s="41"/>
      <c r="V26" s="42"/>
      <c r="W26" s="34"/>
      <c r="X26" s="5"/>
      <c r="AG26" s="41"/>
    </row>
    <row r="27" spans="2:33" ht="15.75" thickBot="1" x14ac:dyDescent="0.3">
      <c r="B27" s="37"/>
      <c r="C27" s="60"/>
      <c r="D27" s="39"/>
      <c r="F27" s="49"/>
      <c r="G27" s="45"/>
      <c r="H27" s="45"/>
      <c r="I27" s="45"/>
      <c r="J27" s="45"/>
      <c r="K27" s="45"/>
      <c r="L27" s="45"/>
      <c r="M27" s="75"/>
      <c r="N27" s="45"/>
      <c r="O27" s="86"/>
      <c r="P27" s="46"/>
      <c r="V27" s="42"/>
      <c r="AG27" s="41"/>
    </row>
    <row r="28" spans="2:33" x14ac:dyDescent="0.25">
      <c r="B28" s="40"/>
      <c r="C28" s="14" t="s">
        <v>30</v>
      </c>
      <c r="D28" s="41"/>
      <c r="V28" s="42"/>
      <c r="AC28" s="154" t="s">
        <v>15</v>
      </c>
      <c r="AD28" s="154"/>
      <c r="AG28" s="41"/>
    </row>
    <row r="29" spans="2:33" ht="15.75" thickBot="1" x14ac:dyDescent="0.3">
      <c r="B29" s="40"/>
      <c r="C29" s="78">
        <v>20.833333333333332</v>
      </c>
      <c r="D29" s="41"/>
      <c r="V29" s="42"/>
      <c r="AC29" s="34" t="str">
        <f>IF(AA7="","",IF(AC10=Z7,Z13,Z7))</f>
        <v/>
      </c>
      <c r="AD29" s="5"/>
      <c r="AG29" s="41"/>
    </row>
    <row r="30" spans="2:33" ht="15.75" thickBot="1" x14ac:dyDescent="0.3">
      <c r="B30" s="40"/>
      <c r="D30" s="41"/>
      <c r="V30" s="42"/>
      <c r="AC30" s="9"/>
      <c r="AG30" s="41"/>
    </row>
    <row r="31" spans="2:33" x14ac:dyDescent="0.25">
      <c r="B31" s="40"/>
      <c r="C31" s="14" t="s">
        <v>35</v>
      </c>
      <c r="D31" s="41"/>
      <c r="V31" s="42"/>
      <c r="AC31" s="34" t="str">
        <f>IF(AC22="","",IF(AC22=Z19,Z25,Z19))</f>
        <v/>
      </c>
      <c r="AD31" s="5"/>
      <c r="AG31" s="41"/>
    </row>
    <row r="32" spans="2:33" ht="15.75" thickBot="1" x14ac:dyDescent="0.3">
      <c r="B32" s="40"/>
      <c r="C32" s="78">
        <v>10.013888888888889</v>
      </c>
      <c r="D32" s="41"/>
      <c r="V32" s="42"/>
      <c r="AG32" s="41"/>
    </row>
    <row r="33" spans="2:33" ht="15.75" thickBot="1" x14ac:dyDescent="0.3">
      <c r="B33" s="40"/>
      <c r="D33" s="41"/>
      <c r="V33" s="44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6"/>
    </row>
    <row r="34" spans="2:33" x14ac:dyDescent="0.25">
      <c r="B34" s="40"/>
      <c r="C34" s="14" t="s">
        <v>36</v>
      </c>
      <c r="D34" s="41"/>
    </row>
    <row r="35" spans="2:33" ht="15.75" thickBot="1" x14ac:dyDescent="0.3">
      <c r="B35" s="40"/>
      <c r="C35" s="78">
        <v>10.001388888888888</v>
      </c>
      <c r="D35" s="41"/>
    </row>
    <row r="36" spans="2:33" ht="15.75" thickBot="1" x14ac:dyDescent="0.3">
      <c r="B36" s="49"/>
      <c r="C36" s="75"/>
      <c r="D36" s="46"/>
    </row>
  </sheetData>
  <protectedRanges>
    <protectedRange algorithmName="SHA-512" hashValue="DFEKZkfjwVaa91rcPUWznniPfdWvpWyZu9h/X6L9ECdOV+PpGmEH1EKuJa6LysfnP5hwlJ+wWn1ZKHji/qoMZA==" saltValue="/iI4DYz0TEGm/Cjtm+aeug==" spinCount="100000" sqref="G11" name="Saissable6_1"/>
    <protectedRange algorithmName="SHA-512" hashValue="DFEKZkfjwVaa91rcPUWznniPfdWvpWyZu9h/X6L9ECdOV+PpGmEH1EKuJa6LysfnP5hwlJ+wWn1ZKHji/qoMZA==" saltValue="/iI4DYz0TEGm/Cjtm+aeug==" spinCount="100000" sqref="G6:G8 L5:L10 N5:N10" name="Saissable6_1_2"/>
    <protectedRange algorithmName="SHA-512" hashValue="DFEKZkfjwVaa91rcPUWznniPfdWvpWyZu9h/X6L9ECdOV+PpGmEH1EKuJa6LysfnP5hwlJ+wWn1ZKHji/qoMZA==" saltValue="/iI4DYz0TEGm/Cjtm+aeug==" spinCount="100000" sqref="G14:G16 L13:L18 N13:N18" name="Saissable6_1_4"/>
    <protectedRange algorithmName="SHA-512" hashValue="DFEKZkfjwVaa91rcPUWznniPfdWvpWyZu9h/X6L9ECdOV+PpGmEH1EKuJa6LysfnP5hwlJ+wWn1ZKHji/qoMZA==" saltValue="/iI4DYz0TEGm/Cjtm+aeug==" spinCount="100000" sqref="G22:G24 L21:L26 N21:N26" name="Saissable6_1_5"/>
    <protectedRange algorithmName="SHA-512" hashValue="DFEKZkfjwVaa91rcPUWznniPfdWvpWyZu9h/X6L9ECdOV+PpGmEH1EKuJa6LysfnP5hwlJ+wWn1ZKHji/qoMZA==" saltValue="/iI4DYz0TEGm/Cjtm+aeug==" spinCount="100000" sqref="X6 X8 X12 X14 X18 X20 X24 X26 AD29 AD31" name="Saissable6_2"/>
    <protectedRange algorithmName="SHA-512" hashValue="DFEKZkfjwVaa91rcPUWznniPfdWvpWyZu9h/X6L9ECdOV+PpGmEH1EKuJa6LysfnP5hwlJ+wWn1ZKHji/qoMZA==" saltValue="/iI4DYz0TEGm/Cjtm+aeug==" spinCount="100000" sqref="AA7 AA13 AA19 AA25 AD10 AD22" name="Saissable6_3_1"/>
  </protectedRanges>
  <mergeCells count="19">
    <mergeCell ref="R2:T2"/>
    <mergeCell ref="F2:P2"/>
    <mergeCell ref="AC16:AD16"/>
    <mergeCell ref="Z22:AA22"/>
    <mergeCell ref="Z10:AA10"/>
    <mergeCell ref="W7:X7"/>
    <mergeCell ref="W13:X13"/>
    <mergeCell ref="Z6:AA6"/>
    <mergeCell ref="V2:AG2"/>
    <mergeCell ref="W4:X4"/>
    <mergeCell ref="AC8:AD8"/>
    <mergeCell ref="AC9:AD9"/>
    <mergeCell ref="Z12:AA12"/>
    <mergeCell ref="W19:X19"/>
    <mergeCell ref="K12:O12"/>
    <mergeCell ref="K20:O20"/>
    <mergeCell ref="K4:O4"/>
    <mergeCell ref="AC28:AD28"/>
    <mergeCell ref="W25:X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F0AF-C32C-435E-B52D-2882FA4F2262}">
  <sheetPr>
    <tabColor theme="9" tint="0.79998168889431442"/>
  </sheetPr>
  <dimension ref="B1:AD36"/>
  <sheetViews>
    <sheetView workbookViewId="0">
      <selection activeCell="R7" sqref="R7"/>
    </sheetView>
  </sheetViews>
  <sheetFormatPr defaultColWidth="11.42578125" defaultRowHeight="15" x14ac:dyDescent="0.25"/>
  <cols>
    <col min="1" max="1" width="3.7109375" style="1" customWidth="1"/>
    <col min="2" max="2" width="5.7109375" style="1" customWidth="1"/>
    <col min="3" max="3" width="17.140625" style="11" bestFit="1" customWidth="1"/>
    <col min="4" max="4" width="5.7109375" style="1" customWidth="1"/>
    <col min="5" max="5" width="3.7109375" style="1" customWidth="1"/>
    <col min="6" max="6" width="5.7109375" style="1" customWidth="1"/>
    <col min="7" max="7" width="17.140625" style="1" bestFit="1" customWidth="1"/>
    <col min="8" max="8" width="9.5703125" style="1" bestFit="1" customWidth="1"/>
    <col min="9" max="9" width="8.28515625" style="1" bestFit="1" customWidth="1"/>
    <col min="10" max="10" width="5.7109375" style="1" customWidth="1"/>
    <col min="11" max="11" width="17.140625" style="1" bestFit="1" customWidth="1"/>
    <col min="12" max="12" width="5.7109375" style="1" customWidth="1"/>
    <col min="13" max="13" width="11.42578125" style="11"/>
    <col min="14" max="14" width="5.7109375" style="1" customWidth="1"/>
    <col min="15" max="15" width="17.140625" style="9" bestFit="1" customWidth="1"/>
    <col min="16" max="16" width="5.7109375" style="1" customWidth="1"/>
    <col min="17" max="17" width="3.7109375" style="1" customWidth="1"/>
    <col min="18" max="18" width="5.7109375" style="1" customWidth="1"/>
    <col min="19" max="19" width="18.7109375" style="1" bestFit="1" customWidth="1"/>
    <col min="20" max="20" width="5.7109375" style="1" customWidth="1"/>
    <col min="21" max="22" width="3.7109375" style="1" customWidth="1"/>
    <col min="23" max="29" width="11.42578125" style="1"/>
    <col min="30" max="30" width="3.7109375" style="1" customWidth="1"/>
    <col min="31" max="16384" width="11.42578125" style="1"/>
  </cols>
  <sheetData>
    <row r="1" spans="2:30" ht="15.75" thickBot="1" x14ac:dyDescent="0.3"/>
    <row r="2" spans="2:30" ht="15.75" thickBot="1" x14ac:dyDescent="0.3">
      <c r="B2" s="37"/>
      <c r="C2" s="60"/>
      <c r="D2" s="39"/>
      <c r="F2" s="37"/>
      <c r="G2" s="38"/>
      <c r="H2" s="38"/>
      <c r="I2" s="38"/>
      <c r="J2" s="38"/>
      <c r="K2" s="38"/>
      <c r="L2" s="38"/>
      <c r="M2" s="60"/>
      <c r="N2" s="38"/>
      <c r="O2" s="85"/>
      <c r="P2" s="39"/>
    </row>
    <row r="3" spans="2:30" ht="15.75" thickBot="1" x14ac:dyDescent="0.3">
      <c r="B3" s="40"/>
      <c r="C3" s="72" t="s">
        <v>31</v>
      </c>
      <c r="D3" s="41"/>
      <c r="F3" s="40"/>
      <c r="K3" s="160" t="s">
        <v>4</v>
      </c>
      <c r="L3" s="161"/>
      <c r="M3" s="161"/>
      <c r="N3" s="161"/>
      <c r="O3" s="162"/>
      <c r="P3" s="41"/>
    </row>
    <row r="4" spans="2:30" x14ac:dyDescent="0.25">
      <c r="B4" s="40">
        <v>1</v>
      </c>
      <c r="C4" s="76"/>
      <c r="D4" s="41"/>
      <c r="F4" s="40"/>
      <c r="K4" s="16">
        <f>G9</f>
        <v>0</v>
      </c>
      <c r="L4" s="87"/>
      <c r="M4" s="82">
        <f>C29</f>
        <v>20.833333333333332</v>
      </c>
      <c r="N4" s="87"/>
      <c r="O4" s="69">
        <f>G12</f>
        <v>0</v>
      </c>
      <c r="P4" s="41"/>
    </row>
    <row r="5" spans="2:30" x14ac:dyDescent="0.25">
      <c r="B5" s="40">
        <v>2</v>
      </c>
      <c r="C5" s="76"/>
      <c r="D5" s="41"/>
      <c r="F5" s="40"/>
      <c r="K5" s="51">
        <f>G10</f>
        <v>0</v>
      </c>
      <c r="L5" s="88"/>
      <c r="M5" s="83">
        <f>M4+$C$32+$C$35</f>
        <v>40.84513888888889</v>
      </c>
      <c r="N5" s="88"/>
      <c r="O5" s="70">
        <f>G13</f>
        <v>0</v>
      </c>
      <c r="P5" s="41"/>
    </row>
    <row r="6" spans="2:30" ht="15.75" thickBot="1" x14ac:dyDescent="0.3">
      <c r="B6" s="40">
        <v>3</v>
      </c>
      <c r="C6" s="76"/>
      <c r="D6" s="41"/>
      <c r="F6" s="40"/>
      <c r="K6" s="51">
        <f>G11</f>
        <v>0</v>
      </c>
      <c r="L6" s="88"/>
      <c r="M6" s="83">
        <f t="shared" ref="M6:M18" si="0">M5+$C$32+$C$35</f>
        <v>60.856944444444444</v>
      </c>
      <c r="N6" s="88"/>
      <c r="O6" s="70">
        <f>G8</f>
        <v>0</v>
      </c>
      <c r="P6" s="41"/>
    </row>
    <row r="7" spans="2:30" ht="15.75" thickBot="1" x14ac:dyDescent="0.3">
      <c r="B7" s="40">
        <v>4</v>
      </c>
      <c r="C7" s="76"/>
      <c r="D7" s="41"/>
      <c r="F7" s="40"/>
      <c r="G7" s="68" t="s">
        <v>1</v>
      </c>
      <c r="H7" s="73" t="s">
        <v>3</v>
      </c>
      <c r="I7" s="74" t="s">
        <v>7</v>
      </c>
      <c r="K7" s="51">
        <f>G9</f>
        <v>0</v>
      </c>
      <c r="L7" s="88"/>
      <c r="M7" s="83">
        <f t="shared" si="0"/>
        <v>80.868749999999991</v>
      </c>
      <c r="N7" s="88"/>
      <c r="O7" s="70">
        <f>G10</f>
        <v>0</v>
      </c>
      <c r="P7" s="41"/>
    </row>
    <row r="8" spans="2:30" x14ac:dyDescent="0.25">
      <c r="B8" s="40">
        <v>5</v>
      </c>
      <c r="C8" s="76"/>
      <c r="D8" s="41"/>
      <c r="F8" s="40"/>
      <c r="G8" s="79"/>
      <c r="H8" s="27">
        <f>IF(N6&gt;L6,$C$18,$C$21)+IF(N8&gt;L8,$C$18,$C$21)+IF(N10&lt;L10,$C$18,$C$21)+IF(N15&lt;L15,$C$18,$C$21)+IF(N18&lt;L18,$C$18,$C$21)</f>
        <v>0</v>
      </c>
      <c r="I8" s="17">
        <f>N6+N8+L10+L15+L17-N17-N15-N10-L6-L8</f>
        <v>0</v>
      </c>
      <c r="K8" s="51">
        <f>G12</f>
        <v>0</v>
      </c>
      <c r="L8" s="88"/>
      <c r="M8" s="83">
        <f t="shared" si="0"/>
        <v>100.88055555555555</v>
      </c>
      <c r="N8" s="88"/>
      <c r="O8" s="70">
        <f>G8</f>
        <v>0</v>
      </c>
      <c r="P8" s="41"/>
      <c r="V8" s="37"/>
      <c r="W8" s="38"/>
      <c r="X8" s="38"/>
      <c r="Y8" s="38"/>
      <c r="Z8" s="38"/>
      <c r="AA8" s="38"/>
      <c r="AB8" s="38"/>
      <c r="AC8" s="38"/>
      <c r="AD8" s="39"/>
    </row>
    <row r="9" spans="2:30" x14ac:dyDescent="0.25">
      <c r="B9" s="40">
        <v>6</v>
      </c>
      <c r="C9" s="76"/>
      <c r="D9" s="41"/>
      <c r="F9" s="40"/>
      <c r="G9" s="80"/>
      <c r="H9" s="2">
        <f>IF(L4&gt;N4,$C$18,$C$21)+IF(L7&gt;N7,$C$18,$C$21)+IF(N14&gt;L14,$C$18,$C$21)+IF(N12&gt;L12,$C$18,$C$21)+IF(N17&gt;L17,$C$18,$C$21)</f>
        <v>0</v>
      </c>
      <c r="I9" s="18">
        <f>L7+L4+N12+N14+N17-L17-L14-L12-N7-N4</f>
        <v>0</v>
      </c>
      <c r="K9" s="51">
        <f>G13</f>
        <v>0</v>
      </c>
      <c r="L9" s="88"/>
      <c r="M9" s="83">
        <f t="shared" si="0"/>
        <v>120.8923611111111</v>
      </c>
      <c r="N9" s="88"/>
      <c r="O9" s="70">
        <f>G11</f>
        <v>0</v>
      </c>
      <c r="P9" s="41"/>
      <c r="V9" s="40"/>
      <c r="W9" s="154" t="s">
        <v>17</v>
      </c>
      <c r="X9" s="154"/>
      <c r="AD9" s="41"/>
    </row>
    <row r="10" spans="2:30" ht="15.75" thickBot="1" x14ac:dyDescent="0.3">
      <c r="B10" s="40">
        <v>7</v>
      </c>
      <c r="C10" s="76"/>
      <c r="D10" s="41"/>
      <c r="F10" s="40"/>
      <c r="G10" s="80"/>
      <c r="H10" s="2">
        <f>IF(L5&gt;N5,$C$18,$C$21)+IF(N10&gt;L10,$C$18,$C$21)+IF(L13&gt;N13,$C$18,$C$21)+IF(N7&gt;L7,$C$18,$C$21)+IF(L16&gt;N16,$C$18,$C$21)</f>
        <v>0</v>
      </c>
      <c r="I10" s="18">
        <f>L16+L13+L5+N7+N10-L10-N13-N16-L7-N5</f>
        <v>0</v>
      </c>
      <c r="K10" s="51">
        <f>G8</f>
        <v>0</v>
      </c>
      <c r="L10" s="88"/>
      <c r="M10" s="83">
        <f t="shared" si="0"/>
        <v>140.90416666666667</v>
      </c>
      <c r="N10" s="88"/>
      <c r="O10" s="70">
        <f>G10</f>
        <v>0</v>
      </c>
      <c r="P10" s="41"/>
      <c r="V10" s="40"/>
      <c r="W10" s="34" t="str">
        <f>IF(S13="","",S13)</f>
        <v/>
      </c>
      <c r="X10" s="5"/>
      <c r="AD10" s="41"/>
    </row>
    <row r="11" spans="2:30" ht="15.75" thickBot="1" x14ac:dyDescent="0.3">
      <c r="B11" s="40">
        <v>8</v>
      </c>
      <c r="C11" s="76"/>
      <c r="D11" s="41"/>
      <c r="F11" s="40"/>
      <c r="G11" s="80"/>
      <c r="H11" s="2">
        <f>IF(L6&gt;N6,$C$18,$C$21)+IF(N9&gt;L9,$C$18,$C$21)+IF(N16&gt;L16,$C$18,$C$21)+IF(L14&gt;N14,$C$18,$C$21)+IF(N11&gt;L11,$C$18,$C$21)</f>
        <v>0</v>
      </c>
      <c r="I11" s="18">
        <f>N11+N9+L14+N16+L6-N6-L9-L11-N14-L16</f>
        <v>0</v>
      </c>
      <c r="K11" s="51">
        <f>G12</f>
        <v>0</v>
      </c>
      <c r="L11" s="88"/>
      <c r="M11" s="83">
        <f t="shared" si="0"/>
        <v>160.91597222222222</v>
      </c>
      <c r="N11" s="88"/>
      <c r="O11" s="70">
        <f>G11</f>
        <v>0</v>
      </c>
      <c r="P11" s="41"/>
      <c r="R11" s="37"/>
      <c r="S11" s="38"/>
      <c r="T11" s="39"/>
      <c r="V11" s="40"/>
      <c r="Y11" s="35"/>
      <c r="Z11" s="172"/>
      <c r="AA11" s="172"/>
      <c r="AD11" s="41"/>
    </row>
    <row r="12" spans="2:30" ht="15.75" thickBot="1" x14ac:dyDescent="0.3">
      <c r="B12" s="40">
        <v>9</v>
      </c>
      <c r="C12" s="76"/>
      <c r="D12" s="41"/>
      <c r="F12" s="40"/>
      <c r="G12" s="80"/>
      <c r="H12" s="2">
        <f>IF(N4&gt;L4,$C$18,$C$21)+IF(L8&gt;N8,$C$18,$C$21)+IF(N13&gt;L13,$C$18,$C$21)+IF(L11&gt;N11,$C$18,$C$21)+IF(N18&gt;L18,$C$18,$C$21)</f>
        <v>0</v>
      </c>
      <c r="I12" s="18">
        <f>N18+L11+N4+N13-L18-L13-N11-L4+L8-N8</f>
        <v>0</v>
      </c>
      <c r="K12" s="51">
        <f>G13</f>
        <v>0</v>
      </c>
      <c r="L12" s="88"/>
      <c r="M12" s="83">
        <f t="shared" si="0"/>
        <v>180.92777777777778</v>
      </c>
      <c r="N12" s="88"/>
      <c r="O12" s="70">
        <f>G9</f>
        <v>0</v>
      </c>
      <c r="P12" s="41"/>
      <c r="R12" s="40"/>
      <c r="S12" s="33" t="s">
        <v>37</v>
      </c>
      <c r="T12" s="41"/>
      <c r="V12" s="40"/>
      <c r="Y12" s="35"/>
      <c r="Z12" s="154" t="s">
        <v>13</v>
      </c>
      <c r="AA12" s="154"/>
      <c r="AD12" s="41"/>
    </row>
    <row r="13" spans="2:30" ht="15.75" thickBot="1" x14ac:dyDescent="0.3">
      <c r="B13" s="40">
        <v>10</v>
      </c>
      <c r="C13" s="76"/>
      <c r="D13" s="41"/>
      <c r="F13" s="40"/>
      <c r="G13" s="81"/>
      <c r="H13" s="28">
        <f>IF(L18&gt;N18,$C$18,$C$21)+IF(N15&gt;L15,$C$18,$C$21)+IF(L12&gt;N12,$C$18,$C$21)+IF(L9&gt;N9,$C$18,$C$21)+IF(N5&gt;L5,$C$18,$C$21)</f>
        <v>0</v>
      </c>
      <c r="I13" s="19">
        <f>L18+N15+L12+L9+N5-L5-N9-N12-L15-N18</f>
        <v>0</v>
      </c>
      <c r="K13" s="51">
        <f>G10</f>
        <v>0</v>
      </c>
      <c r="L13" s="88"/>
      <c r="M13" s="83">
        <f t="shared" si="0"/>
        <v>200.93958333333333</v>
      </c>
      <c r="N13" s="88"/>
      <c r="O13" s="70">
        <f>G12</f>
        <v>0</v>
      </c>
      <c r="P13" s="41"/>
      <c r="R13" s="40"/>
      <c r="S13" s="92"/>
      <c r="T13" s="41"/>
      <c r="V13" s="40"/>
      <c r="W13" s="190"/>
      <c r="X13" s="191"/>
      <c r="Y13" s="35" t="str">
        <f>"------------------"</f>
        <v>------------------</v>
      </c>
      <c r="Z13" s="34" t="str">
        <f>IF(X10="","",IF(X10&gt;X16,W10,W16))</f>
        <v/>
      </c>
      <c r="AA13" s="5"/>
      <c r="AD13" s="41"/>
    </row>
    <row r="14" spans="2:30" ht="15.75" thickBot="1" x14ac:dyDescent="0.3">
      <c r="B14" s="40">
        <v>11</v>
      </c>
      <c r="C14" s="76"/>
      <c r="D14" s="41"/>
      <c r="F14" s="40"/>
      <c r="K14" s="51">
        <f>G11</f>
        <v>0</v>
      </c>
      <c r="L14" s="88"/>
      <c r="M14" s="83">
        <f t="shared" si="0"/>
        <v>220.95138888888889</v>
      </c>
      <c r="N14" s="88"/>
      <c r="O14" s="70">
        <f>G9</f>
        <v>0</v>
      </c>
      <c r="P14" s="41"/>
      <c r="R14" s="40"/>
      <c r="S14" s="93"/>
      <c r="T14" s="41"/>
      <c r="V14" s="40"/>
      <c r="Y14" s="35"/>
      <c r="AB14" s="35"/>
      <c r="AD14" s="41"/>
    </row>
    <row r="15" spans="2:30" ht="15.75" thickBot="1" x14ac:dyDescent="0.3">
      <c r="B15" s="40">
        <v>12</v>
      </c>
      <c r="C15" s="77"/>
      <c r="D15" s="41"/>
      <c r="F15" s="40"/>
      <c r="K15" s="51">
        <f>G8</f>
        <v>0</v>
      </c>
      <c r="L15" s="88"/>
      <c r="M15" s="83">
        <f t="shared" si="0"/>
        <v>240.96319444444444</v>
      </c>
      <c r="N15" s="88"/>
      <c r="O15" s="70">
        <f>G13</f>
        <v>0</v>
      </c>
      <c r="P15" s="41"/>
      <c r="R15" s="40"/>
      <c r="S15" s="94"/>
      <c r="T15" s="41"/>
      <c r="V15" s="40"/>
      <c r="W15" s="172"/>
      <c r="X15" s="172"/>
      <c r="Y15" s="35"/>
      <c r="AB15" s="35"/>
      <c r="AD15" s="41"/>
    </row>
    <row r="16" spans="2:30" ht="15.75" thickBot="1" x14ac:dyDescent="0.3">
      <c r="B16" s="40"/>
      <c r="D16" s="41"/>
      <c r="F16" s="40"/>
      <c r="K16" s="51">
        <f>G10</f>
        <v>0</v>
      </c>
      <c r="L16" s="88"/>
      <c r="M16" s="83">
        <f t="shared" si="0"/>
        <v>260.97499999999997</v>
      </c>
      <c r="N16" s="88"/>
      <c r="O16" s="70">
        <f>G11</f>
        <v>0</v>
      </c>
      <c r="P16" s="41"/>
      <c r="R16" s="40"/>
      <c r="S16" s="90"/>
      <c r="T16" s="41"/>
      <c r="V16" s="40"/>
      <c r="W16" s="34" t="str">
        <f>IF(S22="","",S22)</f>
        <v/>
      </c>
      <c r="X16" s="5"/>
      <c r="AB16" s="35"/>
      <c r="AD16" s="41"/>
    </row>
    <row r="17" spans="2:30" x14ac:dyDescent="0.25">
      <c r="B17" s="40"/>
      <c r="C17" s="14" t="s">
        <v>32</v>
      </c>
      <c r="D17" s="41"/>
      <c r="F17" s="40"/>
      <c r="K17" s="51">
        <f>G8</f>
        <v>0</v>
      </c>
      <c r="L17" s="88"/>
      <c r="M17" s="83">
        <f t="shared" si="0"/>
        <v>280.98680555555552</v>
      </c>
      <c r="N17" s="88"/>
      <c r="O17" s="70">
        <f>G9</f>
        <v>0</v>
      </c>
      <c r="P17" s="41"/>
      <c r="R17" s="40"/>
      <c r="S17" s="90"/>
      <c r="T17" s="41"/>
      <c r="V17" s="40"/>
      <c r="AB17" s="35"/>
      <c r="AD17" s="41"/>
    </row>
    <row r="18" spans="2:30" ht="15.75" thickBot="1" x14ac:dyDescent="0.3">
      <c r="B18" s="40"/>
      <c r="C18" s="77"/>
      <c r="D18" s="41"/>
      <c r="F18" s="40"/>
      <c r="K18" s="52">
        <f>G13</f>
        <v>0</v>
      </c>
      <c r="L18" s="89"/>
      <c r="M18" s="84">
        <f t="shared" si="0"/>
        <v>300.99861111111107</v>
      </c>
      <c r="N18" s="89"/>
      <c r="O18" s="71">
        <f>G12</f>
        <v>0</v>
      </c>
      <c r="P18" s="41"/>
      <c r="R18" s="40"/>
      <c r="S18" s="91"/>
      <c r="T18" s="41"/>
      <c r="V18" s="40"/>
      <c r="AB18" s="35"/>
      <c r="AC18" s="1" t="s">
        <v>14</v>
      </c>
      <c r="AD18" s="41"/>
    </row>
    <row r="19" spans="2:30" ht="15.75" thickBot="1" x14ac:dyDescent="0.3">
      <c r="B19" s="40"/>
      <c r="D19" s="41"/>
      <c r="F19" s="40"/>
      <c r="P19" s="41"/>
      <c r="R19" s="40"/>
      <c r="T19" s="41"/>
      <c r="V19" s="40"/>
      <c r="Z19" s="190"/>
      <c r="AA19" s="191"/>
      <c r="AB19" s="35" t="str">
        <f>"------------------"</f>
        <v>------------------</v>
      </c>
      <c r="AC19" s="33" t="str">
        <f>IF(AA13="","",IF(AA13&gt;AA25,Z13,Z25))</f>
        <v/>
      </c>
      <c r="AD19" s="41"/>
    </row>
    <row r="20" spans="2:30" ht="15.75" thickBot="1" x14ac:dyDescent="0.3">
      <c r="B20" s="40"/>
      <c r="C20" s="14" t="s">
        <v>33</v>
      </c>
      <c r="D20" s="41"/>
      <c r="F20" s="40"/>
      <c r="K20" s="160" t="s">
        <v>6</v>
      </c>
      <c r="L20" s="161"/>
      <c r="M20" s="161"/>
      <c r="N20" s="161"/>
      <c r="O20" s="162"/>
      <c r="P20" s="41"/>
      <c r="R20" s="40"/>
      <c r="S20" s="33" t="s">
        <v>38</v>
      </c>
      <c r="T20" s="41"/>
      <c r="V20" s="40"/>
      <c r="AB20" s="35"/>
      <c r="AD20" s="41"/>
    </row>
    <row r="21" spans="2:30" ht="15.75" thickBot="1" x14ac:dyDescent="0.3">
      <c r="B21" s="40"/>
      <c r="C21" s="77"/>
      <c r="D21" s="41"/>
      <c r="F21" s="40"/>
      <c r="K21" s="16">
        <f>G26</f>
        <v>0</v>
      </c>
      <c r="L21" s="87"/>
      <c r="M21" s="82">
        <f>C29</f>
        <v>20.833333333333332</v>
      </c>
      <c r="N21" s="87"/>
      <c r="O21" s="69">
        <f>G29</f>
        <v>0</v>
      </c>
      <c r="P21" s="41"/>
      <c r="R21" s="40"/>
      <c r="S21" s="92"/>
      <c r="T21" s="41"/>
      <c r="V21" s="40"/>
      <c r="W21" s="56"/>
      <c r="X21" s="56"/>
      <c r="AB21" s="35"/>
      <c r="AD21" s="41"/>
    </row>
    <row r="22" spans="2:30" ht="15.75" thickBot="1" x14ac:dyDescent="0.3">
      <c r="B22" s="40"/>
      <c r="D22" s="41"/>
      <c r="F22" s="40"/>
      <c r="K22" s="51">
        <f>G27</f>
        <v>0</v>
      </c>
      <c r="L22" s="88"/>
      <c r="M22" s="83">
        <f>M21+$C$32+$C$35</f>
        <v>40.84513888888889</v>
      </c>
      <c r="N22" s="88"/>
      <c r="O22" s="70">
        <f>G30</f>
        <v>0</v>
      </c>
      <c r="P22" s="41"/>
      <c r="R22" s="40"/>
      <c r="S22" s="93"/>
      <c r="T22" s="41"/>
      <c r="V22" s="40"/>
      <c r="W22" s="34" t="str">
        <f>IF(S21="","",S21)</f>
        <v/>
      </c>
      <c r="X22" s="5"/>
      <c r="AB22" s="35"/>
      <c r="AD22" s="41"/>
    </row>
    <row r="23" spans="2:30" ht="15.75" thickBot="1" x14ac:dyDescent="0.3">
      <c r="B23" s="40"/>
      <c r="C23" s="14" t="s">
        <v>34</v>
      </c>
      <c r="D23" s="41"/>
      <c r="F23" s="40"/>
      <c r="K23" s="51">
        <f>G28</f>
        <v>0</v>
      </c>
      <c r="L23" s="88"/>
      <c r="M23" s="83">
        <f t="shared" ref="M23:M35" si="1">M22+$C$32+$C$35</f>
        <v>60.856944444444444</v>
      </c>
      <c r="N23" s="88"/>
      <c r="O23" s="70">
        <f>G25</f>
        <v>0</v>
      </c>
      <c r="P23" s="41"/>
      <c r="R23" s="40"/>
      <c r="S23" s="94"/>
      <c r="T23" s="41"/>
      <c r="V23" s="40"/>
      <c r="Y23" s="35"/>
      <c r="AB23" s="35"/>
      <c r="AD23" s="41"/>
    </row>
    <row r="24" spans="2:30" ht="15.75" thickBot="1" x14ac:dyDescent="0.3">
      <c r="B24" s="40"/>
      <c r="C24" s="77"/>
      <c r="D24" s="41"/>
      <c r="F24" s="40"/>
      <c r="G24" s="68" t="s">
        <v>2</v>
      </c>
      <c r="H24" s="73" t="s">
        <v>3</v>
      </c>
      <c r="I24" s="74" t="s">
        <v>7</v>
      </c>
      <c r="K24" s="51">
        <f>G26</f>
        <v>0</v>
      </c>
      <c r="L24" s="88"/>
      <c r="M24" s="83">
        <f t="shared" si="1"/>
        <v>80.868749999999991</v>
      </c>
      <c r="N24" s="88"/>
      <c r="O24" s="70">
        <f>G27</f>
        <v>0</v>
      </c>
      <c r="P24" s="41"/>
      <c r="R24" s="40"/>
      <c r="S24" s="90"/>
      <c r="T24" s="41"/>
      <c r="V24" s="40"/>
      <c r="Y24" s="35"/>
      <c r="AB24" s="35"/>
      <c r="AD24" s="41"/>
    </row>
    <row r="25" spans="2:30" ht="15.75" thickBot="1" x14ac:dyDescent="0.3">
      <c r="B25" s="49"/>
      <c r="C25" s="75"/>
      <c r="D25" s="46"/>
      <c r="F25" s="40"/>
      <c r="G25" s="79"/>
      <c r="H25" s="27">
        <f>IF(N23&gt;L23,$C$18,$C$21)+IF(N25&gt;L25,$C$18,$C$21)+IF(N27&lt;L27,$C$18,$C$21)+IF(N32&lt;L32,$C$18,$C$21)+IF(N35&lt;L35,$C$18,$C$21)</f>
        <v>0</v>
      </c>
      <c r="I25" s="17">
        <f>N23+N25+L27+L32+L34-N34-N32-N27-L23-L25</f>
        <v>0</v>
      </c>
      <c r="K25" s="51">
        <f>G29</f>
        <v>0</v>
      </c>
      <c r="L25" s="88"/>
      <c r="M25" s="83">
        <f t="shared" si="1"/>
        <v>100.88055555555555</v>
      </c>
      <c r="N25" s="88"/>
      <c r="O25" s="70">
        <f>G25</f>
        <v>0</v>
      </c>
      <c r="P25" s="41"/>
      <c r="R25" s="40"/>
      <c r="S25" s="90"/>
      <c r="T25" s="41"/>
      <c r="V25" s="40"/>
      <c r="W25" s="190"/>
      <c r="X25" s="191"/>
      <c r="Y25" s="35" t="str">
        <f>"------------------"</f>
        <v>------------------</v>
      </c>
      <c r="Z25" s="34" t="str">
        <f>IF(X22="","",IF(X22&gt;X28,W22,W28))</f>
        <v/>
      </c>
      <c r="AA25" s="5"/>
      <c r="AD25" s="41"/>
    </row>
    <row r="26" spans="2:30" ht="15.75" thickBot="1" x14ac:dyDescent="0.3">
      <c r="F26" s="40"/>
      <c r="G26" s="80"/>
      <c r="H26" s="2">
        <f>IF(L21&gt;N21,$C$18,$C$21)+IF(L24&gt;N24,$C$18,$C$21)+IF(N31&gt;L31,$C$18,$C$21)+IF(N29&gt;L29,$C$18,$C$21)+IF(N34&gt;L34,$C$18,$C$21)</f>
        <v>0</v>
      </c>
      <c r="I26" s="18">
        <f>L24+L21+N29+N31+N34-L34-L31-L29-N24-N21</f>
        <v>0</v>
      </c>
      <c r="K26" s="51">
        <f>G30</f>
        <v>0</v>
      </c>
      <c r="L26" s="88"/>
      <c r="M26" s="83">
        <f t="shared" si="1"/>
        <v>120.8923611111111</v>
      </c>
      <c r="N26" s="88"/>
      <c r="O26" s="70">
        <f>G28</f>
        <v>0</v>
      </c>
      <c r="P26" s="41"/>
      <c r="R26" s="40"/>
      <c r="S26" s="91"/>
      <c r="T26" s="41"/>
      <c r="V26" s="40"/>
      <c r="Y26" s="35"/>
      <c r="AD26" s="41"/>
    </row>
    <row r="27" spans="2:30" ht="15.75" thickBot="1" x14ac:dyDescent="0.3">
      <c r="B27" s="37"/>
      <c r="C27" s="60"/>
      <c r="D27" s="39"/>
      <c r="F27" s="40"/>
      <c r="G27" s="80"/>
      <c r="H27" s="2">
        <f>IF(L22&gt;N22,$C$18,$C$21)+IF(N27&gt;L27,$C$18,$C$21)+IF(L30&gt;N30,$C$18,$C$21)+IF(N24&gt;L24,$C$18,$C$21)+IF(L33&gt;N33,$C$18,$C$21)</f>
        <v>0</v>
      </c>
      <c r="I27" s="18">
        <f>L33+L30+L22+N24+N27-L27-N30-N33-L24-N22</f>
        <v>0</v>
      </c>
      <c r="K27" s="51">
        <f>G25</f>
        <v>0</v>
      </c>
      <c r="L27" s="88"/>
      <c r="M27" s="83">
        <f t="shared" si="1"/>
        <v>140.90416666666667</v>
      </c>
      <c r="N27" s="88"/>
      <c r="O27" s="70">
        <f>G27</f>
        <v>0</v>
      </c>
      <c r="P27" s="41"/>
      <c r="R27" s="49"/>
      <c r="S27" s="45"/>
      <c r="T27" s="46"/>
      <c r="V27" s="40"/>
      <c r="W27" s="56"/>
      <c r="X27" s="56"/>
      <c r="Y27" s="35"/>
      <c r="AD27" s="41"/>
    </row>
    <row r="28" spans="2:30" x14ac:dyDescent="0.25">
      <c r="B28" s="40"/>
      <c r="C28" s="14" t="s">
        <v>30</v>
      </c>
      <c r="D28" s="41"/>
      <c r="F28" s="40"/>
      <c r="G28" s="80"/>
      <c r="H28" s="2">
        <f>IF(L23&gt;N23,$C$18,$C$21)+IF(N26&gt;L26,$C$18,$C$21)+IF(N33&gt;L33,$C$18,$C$21)+IF(L31&gt;N31,$C$18,$C$21)+IF(N28&gt;L28,$C$18,$C$21)</f>
        <v>0</v>
      </c>
      <c r="I28" s="18">
        <f>N28+N26+L31+N33+L23-N23-L26-L28-N31-L33</f>
        <v>0</v>
      </c>
      <c r="K28" s="51">
        <f>G29</f>
        <v>0</v>
      </c>
      <c r="L28" s="88"/>
      <c r="M28" s="83">
        <f t="shared" si="1"/>
        <v>160.91597222222222</v>
      </c>
      <c r="N28" s="88"/>
      <c r="O28" s="70">
        <f>G28</f>
        <v>0</v>
      </c>
      <c r="P28" s="41"/>
      <c r="V28" s="40"/>
      <c r="W28" s="34" t="str">
        <f>IF(S14="","",S14)</f>
        <v/>
      </c>
      <c r="X28" s="5"/>
      <c r="AD28" s="41"/>
    </row>
    <row r="29" spans="2:30" ht="15.75" thickBot="1" x14ac:dyDescent="0.3">
      <c r="B29" s="40"/>
      <c r="C29" s="78">
        <v>20.833333333333332</v>
      </c>
      <c r="D29" s="41"/>
      <c r="F29" s="40"/>
      <c r="G29" s="80"/>
      <c r="H29" s="2">
        <f>IF(N21&gt;L21,$C$18,$C$21)+IF(L25&gt;N25,$C$18,$C$21)+IF(N30&gt;L30,$C$18,$C$21)+IF(L28&gt;N28,$C$18,$C$21)+IF(N35&gt;L35,$C$18,$C$21)</f>
        <v>0</v>
      </c>
      <c r="I29" s="18">
        <f>N35+L28+N21+N30-L35-L30-N28-L21+L25-N25</f>
        <v>0</v>
      </c>
      <c r="K29" s="51">
        <f>G30</f>
        <v>0</v>
      </c>
      <c r="L29" s="88"/>
      <c r="M29" s="83">
        <f t="shared" si="1"/>
        <v>180.92777777777778</v>
      </c>
      <c r="N29" s="88"/>
      <c r="O29" s="70">
        <f>G26</f>
        <v>0</v>
      </c>
      <c r="P29" s="41"/>
      <c r="V29" s="49"/>
      <c r="W29" s="45"/>
      <c r="X29" s="45"/>
      <c r="Y29" s="45"/>
      <c r="Z29" s="45"/>
      <c r="AA29" s="45"/>
      <c r="AB29" s="45"/>
      <c r="AC29" s="45"/>
      <c r="AD29" s="46"/>
    </row>
    <row r="30" spans="2:30" ht="15.75" thickBot="1" x14ac:dyDescent="0.3">
      <c r="B30" s="40"/>
      <c r="D30" s="41"/>
      <c r="F30" s="40"/>
      <c r="G30" s="81"/>
      <c r="H30" s="28">
        <f>IF(L35&gt;N35,$C$18,$C$21)+IF(N32&gt;L32,$C$18,$C$21)+IF(L29&gt;N29,$C$18,$C$21)+IF(L26&gt;N26,$C$18,$C$21)+IF(N22&gt;L22,$C$18,$C$21)</f>
        <v>0</v>
      </c>
      <c r="I30" s="19">
        <f>L35+N32+L29+L26+N22-L22-N26-N29-L32-N35</f>
        <v>0</v>
      </c>
      <c r="K30" s="51">
        <f>G27</f>
        <v>0</v>
      </c>
      <c r="L30" s="88"/>
      <c r="M30" s="83">
        <f t="shared" si="1"/>
        <v>200.93958333333333</v>
      </c>
      <c r="N30" s="88"/>
      <c r="O30" s="70">
        <f>G29</f>
        <v>0</v>
      </c>
      <c r="P30" s="41"/>
    </row>
    <row r="31" spans="2:30" x14ac:dyDescent="0.25">
      <c r="B31" s="40"/>
      <c r="C31" s="14" t="s">
        <v>35</v>
      </c>
      <c r="D31" s="41"/>
      <c r="F31" s="40"/>
      <c r="K31" s="51">
        <f>G28</f>
        <v>0</v>
      </c>
      <c r="L31" s="88"/>
      <c r="M31" s="83">
        <f t="shared" si="1"/>
        <v>220.95138888888889</v>
      </c>
      <c r="N31" s="88"/>
      <c r="O31" s="70">
        <f>G26</f>
        <v>0</v>
      </c>
      <c r="P31" s="41"/>
    </row>
    <row r="32" spans="2:30" ht="15.75" thickBot="1" x14ac:dyDescent="0.3">
      <c r="B32" s="40"/>
      <c r="C32" s="78">
        <v>10.010416666666666</v>
      </c>
      <c r="D32" s="41"/>
      <c r="F32" s="40"/>
      <c r="K32" s="51">
        <f>G25</f>
        <v>0</v>
      </c>
      <c r="L32" s="88"/>
      <c r="M32" s="83">
        <f t="shared" si="1"/>
        <v>240.96319444444444</v>
      </c>
      <c r="N32" s="88"/>
      <c r="O32" s="70">
        <f>G30</f>
        <v>0</v>
      </c>
      <c r="P32" s="41"/>
    </row>
    <row r="33" spans="2:16" ht="15.75" thickBot="1" x14ac:dyDescent="0.3">
      <c r="B33" s="40"/>
      <c r="D33" s="41"/>
      <c r="F33" s="40"/>
      <c r="K33" s="51">
        <f>G27</f>
        <v>0</v>
      </c>
      <c r="L33" s="88"/>
      <c r="M33" s="83">
        <f t="shared" si="1"/>
        <v>260.97499999999997</v>
      </c>
      <c r="N33" s="88"/>
      <c r="O33" s="70">
        <f>G28</f>
        <v>0</v>
      </c>
      <c r="P33" s="41"/>
    </row>
    <row r="34" spans="2:16" x14ac:dyDescent="0.25">
      <c r="B34" s="40"/>
      <c r="C34" s="14" t="s">
        <v>36</v>
      </c>
      <c r="D34" s="41"/>
      <c r="F34" s="40"/>
      <c r="K34" s="51">
        <f>G25</f>
        <v>0</v>
      </c>
      <c r="L34" s="88"/>
      <c r="M34" s="83">
        <f t="shared" si="1"/>
        <v>280.98680555555552</v>
      </c>
      <c r="N34" s="88"/>
      <c r="O34" s="70">
        <f>G26</f>
        <v>0</v>
      </c>
      <c r="P34" s="41"/>
    </row>
    <row r="35" spans="2:16" ht="15.75" thickBot="1" x14ac:dyDescent="0.3">
      <c r="B35" s="40"/>
      <c r="C35" s="78">
        <v>10.001388888888888</v>
      </c>
      <c r="D35" s="41"/>
      <c r="F35" s="40"/>
      <c r="K35" s="52">
        <f>G30</f>
        <v>0</v>
      </c>
      <c r="L35" s="89"/>
      <c r="M35" s="84">
        <f t="shared" si="1"/>
        <v>300.99861111111107</v>
      </c>
      <c r="N35" s="89"/>
      <c r="O35" s="71">
        <f>G29</f>
        <v>0</v>
      </c>
      <c r="P35" s="41"/>
    </row>
    <row r="36" spans="2:16" ht="15.75" thickBot="1" x14ac:dyDescent="0.3">
      <c r="B36" s="49"/>
      <c r="C36" s="75"/>
      <c r="D36" s="46"/>
      <c r="F36" s="49"/>
      <c r="G36" s="45"/>
      <c r="H36" s="45"/>
      <c r="I36" s="45"/>
      <c r="J36" s="45"/>
      <c r="K36" s="45"/>
      <c r="L36" s="45"/>
      <c r="M36" s="75"/>
      <c r="N36" s="45"/>
      <c r="O36" s="86"/>
      <c r="P36" s="46"/>
    </row>
  </sheetData>
  <protectedRanges>
    <protectedRange algorithmName="SHA-512" hashValue="DFEKZkfjwVaa91rcPUWznniPfdWvpWyZu9h/X6L9ECdOV+PpGmEH1EKuJa6LysfnP5hwlJ+wWn1ZKHji/qoMZA==" saltValue="/iI4DYz0TEGm/Cjtm+aeug==" spinCount="100000" sqref="L4:L9 N4:N9 G8:G13 L21:L26 N21:N26 G25:G30" name="Saissable6_1"/>
    <protectedRange algorithmName="SHA-512" hashValue="DFEKZkfjwVaa91rcPUWznniPfdWvpWyZu9h/X6L9ECdOV+PpGmEH1EKuJa6LysfnP5hwlJ+wWn1ZKHji/qoMZA==" saltValue="/iI4DYz0TEGm/Cjtm+aeug==" spinCount="100000" sqref="N12:N17 L12:L17 G14:G15 N29:N34 L29:L34 G31:G32" name="Saissable6_1_1"/>
    <protectedRange algorithmName="SHA-512" hashValue="DFEKZkfjwVaa91rcPUWznniPfdWvpWyZu9h/X6L9ECdOV+PpGmEH1EKuJa6LysfnP5hwlJ+wWn1ZKHji/qoMZA==" saltValue="/iI4DYz0TEGm/Cjtm+aeug==" spinCount="100000" sqref="X10 X16 X22 X28 AA13 AA25" name="Saissable6_3"/>
  </protectedRanges>
  <mergeCells count="9">
    <mergeCell ref="Z11:AA11"/>
    <mergeCell ref="Z12:AA12"/>
    <mergeCell ref="W15:X15"/>
    <mergeCell ref="Z19:AA19"/>
    <mergeCell ref="W25:X25"/>
    <mergeCell ref="W13:X13"/>
    <mergeCell ref="K20:O20"/>
    <mergeCell ref="W9:X9"/>
    <mergeCell ref="K3:O3"/>
  </mergeCells>
  <phoneticPr fontId="2" type="noConversion"/>
  <pageMargins left="0.7" right="0.7" top="0.75" bottom="0.75" header="0.3" footer="0.3"/>
  <ignoredErrors>
    <ignoredError sqref="O9 O15 O26 O32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50FE-D3C3-4870-A15E-EE4036EA376A}">
  <sheetPr>
    <tabColor theme="2" tint="-9.9978637043366805E-2"/>
  </sheetPr>
  <dimension ref="A1"/>
  <sheetViews>
    <sheetView workbookViewId="0">
      <selection activeCell="L35" sqref="L35"/>
    </sheetView>
  </sheetViews>
  <sheetFormatPr defaultColWidth="11.42578125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ABA7-40C8-4DE5-BB0C-F20AA304C5A7}">
  <sheetPr>
    <tabColor theme="4" tint="0.79998168889431442"/>
  </sheetPr>
  <dimension ref="B1:AI74"/>
  <sheetViews>
    <sheetView topLeftCell="K29" workbookViewId="0">
      <selection activeCell="R2" sqref="R2:AG49"/>
    </sheetView>
  </sheetViews>
  <sheetFormatPr defaultColWidth="11.42578125" defaultRowHeight="15" x14ac:dyDescent="0.25"/>
  <cols>
    <col min="1" max="1" width="3.7109375" style="1" customWidth="1"/>
    <col min="2" max="2" width="5.7109375" style="1" customWidth="1"/>
    <col min="3" max="3" width="11.42578125" style="1"/>
    <col min="4" max="4" width="5.7109375" style="1" customWidth="1"/>
    <col min="5" max="5" width="3.7109375" style="1" customWidth="1"/>
    <col min="6" max="6" width="5.7109375" style="1" customWidth="1"/>
    <col min="7" max="7" width="11.42578125" style="1"/>
    <col min="8" max="8" width="13.140625" style="1" bestFit="1" customWidth="1"/>
    <col min="9" max="9" width="11.42578125" style="1"/>
    <col min="10" max="10" width="5.7109375" style="1" customWidth="1"/>
    <col min="11" max="15" width="11.42578125" style="1"/>
    <col min="16" max="16" width="5.7109375" style="1" customWidth="1"/>
    <col min="17" max="17" width="3.7109375" style="1" customWidth="1"/>
    <col min="18" max="18" width="5.7109375" style="1" customWidth="1"/>
    <col min="19" max="16384" width="11.42578125" style="1"/>
  </cols>
  <sheetData>
    <row r="1" spans="2:35" ht="15.75" thickBot="1" x14ac:dyDescent="0.3">
      <c r="R1" s="9"/>
    </row>
    <row r="2" spans="2:35" ht="15.75" thickBot="1" x14ac:dyDescent="0.3">
      <c r="B2" s="182" t="s">
        <v>21</v>
      </c>
      <c r="C2" s="183"/>
      <c r="D2" s="184"/>
      <c r="F2" s="150" t="s">
        <v>19</v>
      </c>
      <c r="G2" s="151"/>
      <c r="H2" s="151"/>
      <c r="I2" s="151"/>
      <c r="J2" s="151"/>
      <c r="K2" s="151"/>
      <c r="L2" s="151"/>
      <c r="M2" s="151"/>
      <c r="N2" s="151"/>
      <c r="O2" s="151"/>
      <c r="P2" s="152"/>
      <c r="R2" s="150" t="s">
        <v>27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2"/>
      <c r="AI2" s="68" t="s">
        <v>29</v>
      </c>
    </row>
    <row r="3" spans="2:35" ht="15.75" thickBot="1" x14ac:dyDescent="0.3">
      <c r="B3" s="37"/>
      <c r="C3" s="38"/>
      <c r="D3" s="39"/>
      <c r="F3" s="37"/>
      <c r="G3" s="38"/>
      <c r="H3" s="38"/>
      <c r="I3" s="38"/>
      <c r="J3" s="38"/>
      <c r="K3" s="38"/>
      <c r="L3" s="38"/>
      <c r="M3" s="38"/>
      <c r="N3" s="38"/>
      <c r="O3" s="38"/>
      <c r="P3" s="47"/>
      <c r="R3" s="42"/>
      <c r="AG3" s="41"/>
      <c r="AI3" s="65" t="str">
        <f>IF(AE26="","",AE26)</f>
        <v/>
      </c>
    </row>
    <row r="4" spans="2:35" ht="15.75" thickBot="1" x14ac:dyDescent="0.3">
      <c r="B4" s="40"/>
      <c r="C4" s="33" t="s">
        <v>0</v>
      </c>
      <c r="D4" s="41"/>
      <c r="F4" s="40"/>
      <c r="K4" s="160" t="s">
        <v>4</v>
      </c>
      <c r="L4" s="161"/>
      <c r="M4" s="161"/>
      <c r="N4" s="161"/>
      <c r="O4" s="162"/>
      <c r="P4" s="41"/>
      <c r="R4" s="42" t="s">
        <v>66</v>
      </c>
      <c r="S4" s="63">
        <f>H39</f>
        <v>0</v>
      </c>
      <c r="T4" s="5"/>
      <c r="AG4" s="41"/>
      <c r="AI4" s="62" t="str">
        <f>IF(AI3="","",IF(AI3=AB14,AB38,AB14))</f>
        <v/>
      </c>
    </row>
    <row r="5" spans="2:35" ht="15.75" thickBot="1" x14ac:dyDescent="0.3">
      <c r="B5" s="40"/>
      <c r="C5" s="32"/>
      <c r="D5" s="41"/>
      <c r="F5" s="40"/>
      <c r="G5" s="33" t="s">
        <v>1</v>
      </c>
      <c r="H5" s="58" t="s">
        <v>3</v>
      </c>
      <c r="I5" s="31" t="s">
        <v>7</v>
      </c>
      <c r="K5" s="53" t="str">
        <f>G6</f>
        <v>A</v>
      </c>
      <c r="L5" s="6"/>
      <c r="M5" s="179" t="s">
        <v>5</v>
      </c>
      <c r="N5" s="6"/>
      <c r="O5" s="29" t="str">
        <f>G7</f>
        <v>B</v>
      </c>
      <c r="P5" s="41"/>
      <c r="R5" s="42"/>
      <c r="S5" s="11"/>
      <c r="T5" s="11"/>
      <c r="U5" s="35" t="str">
        <f>"------------------"</f>
        <v>------------------</v>
      </c>
      <c r="V5" s="63" t="str">
        <f>IF(T4="","",IF(T4&gt;T6,S4,S6))</f>
        <v/>
      </c>
      <c r="W5" s="5"/>
      <c r="AG5" s="41"/>
      <c r="AI5" s="62" t="str">
        <f>IF(AE47="","",IF(AE47=AB46,AB46,AB48))</f>
        <v/>
      </c>
    </row>
    <row r="6" spans="2:35" ht="15.75" thickBot="1" x14ac:dyDescent="0.3">
      <c r="B6" s="40"/>
      <c r="C6" s="12"/>
      <c r="D6" s="41"/>
      <c r="F6" s="40"/>
      <c r="G6" s="32" t="s">
        <v>41</v>
      </c>
      <c r="H6" s="16">
        <f>IF(L5&gt;N5,$C$23,IF(L5=N5,$C$26,C29))+IF(L7&gt;N7,$C$23,IF(L7=N7,$C$26,C29))+IF(L9&gt;N9,$C$23,IF(L9=N9,$C$26,C29))</f>
        <v>3</v>
      </c>
      <c r="I6" s="17">
        <f>L5+L7+L9</f>
        <v>0</v>
      </c>
      <c r="K6" s="51" t="str">
        <f>G8</f>
        <v>C</v>
      </c>
      <c r="L6" s="5"/>
      <c r="M6" s="180"/>
      <c r="N6" s="5"/>
      <c r="O6" s="18" t="str">
        <f>G9</f>
        <v>D</v>
      </c>
      <c r="P6" s="41"/>
      <c r="R6" s="42" t="s">
        <v>67</v>
      </c>
      <c r="S6" s="34">
        <f>H60</f>
        <v>0</v>
      </c>
      <c r="T6" s="5"/>
      <c r="V6" s="172"/>
      <c r="W6" s="192"/>
      <c r="AG6" s="41"/>
      <c r="AI6" s="64" t="str">
        <f>IF(AE47="","",IF(AE47=AB48,AB46,AB48))</f>
        <v/>
      </c>
    </row>
    <row r="7" spans="2:35" ht="15.75" thickBot="1" x14ac:dyDescent="0.3">
      <c r="B7" s="40"/>
      <c r="C7" s="12"/>
      <c r="D7" s="41"/>
      <c r="F7" s="40"/>
      <c r="G7" s="12" t="s">
        <v>43</v>
      </c>
      <c r="H7" s="51">
        <f>IF(N5&gt;L5,$C$23,IF(N5=L5,$C$26,$C$29))+IF(L8&gt;N8,$C$23,IF(L8=N8,$C$26,$C$29))+IF(L10&gt;N10,$C$23,IF(L10=N10,$C$26,$C$29))</f>
        <v>3</v>
      </c>
      <c r="I7" s="18">
        <f>N5+L8+L10</f>
        <v>0</v>
      </c>
      <c r="K7" s="51" t="str">
        <f>G6</f>
        <v>A</v>
      </c>
      <c r="L7" s="5"/>
      <c r="M7" s="180"/>
      <c r="N7" s="5"/>
      <c r="O7" s="18" t="str">
        <f>G8</f>
        <v>C</v>
      </c>
      <c r="P7" s="41"/>
      <c r="R7" s="42"/>
      <c r="S7" s="9"/>
      <c r="V7" s="9"/>
      <c r="W7" s="96"/>
      <c r="AG7" s="41"/>
    </row>
    <row r="8" spans="2:35" ht="15.75" thickBot="1" x14ac:dyDescent="0.3">
      <c r="B8" s="40"/>
      <c r="C8" s="12"/>
      <c r="D8" s="41"/>
      <c r="F8" s="40"/>
      <c r="G8" s="12" t="s">
        <v>44</v>
      </c>
      <c r="H8" s="51">
        <f>IF(L6&gt;N6,$C$23,IF(L6=N6,$C$26,$C$29))+IF(L7&lt;N7,$C$23,IF(L7=N7,$C$26,$C$29))+IF(L10&lt;N10,$C$23,IF(L10=N10,$C$26,$C$29))</f>
        <v>3</v>
      </c>
      <c r="I8" s="18">
        <f>L6+N7+N10</f>
        <v>0</v>
      </c>
      <c r="K8" s="51" t="str">
        <f>G7</f>
        <v>B</v>
      </c>
      <c r="L8" s="5"/>
      <c r="M8" s="180"/>
      <c r="N8" s="5"/>
      <c r="O8" s="18" t="str">
        <f>G9</f>
        <v>D</v>
      </c>
      <c r="P8" s="41"/>
      <c r="R8" s="42"/>
      <c r="S8" s="9"/>
      <c r="W8" s="96"/>
      <c r="X8" s="1" t="str">
        <f>"------------------"</f>
        <v>------------------</v>
      </c>
      <c r="Y8" s="63" t="str">
        <f>IF(W5="","",IF(W5&gt;W11,V5,V11))</f>
        <v/>
      </c>
      <c r="Z8" s="5"/>
      <c r="AG8" s="41"/>
      <c r="AI8" s="68" t="s">
        <v>28</v>
      </c>
    </row>
    <row r="9" spans="2:35" ht="15.75" thickBot="1" x14ac:dyDescent="0.3">
      <c r="B9" s="40"/>
      <c r="C9" s="12"/>
      <c r="D9" s="41"/>
      <c r="F9" s="40"/>
      <c r="G9" s="13" t="s">
        <v>45</v>
      </c>
      <c r="H9" s="52">
        <f>IF(N6&gt;L6,$C$23,IF(N6=L6,$C$26,$C$29))+IF(N8&gt;L8,$C$23,IF(N8=L8,$C$26,$C$29))+IF(N9&gt;L9,$C$23,IF(N9=L9,$C$26,$C$29))</f>
        <v>3</v>
      </c>
      <c r="I9" s="19">
        <f>N6+N8+N9</f>
        <v>0</v>
      </c>
      <c r="K9" s="51" t="str">
        <f>G6</f>
        <v>A</v>
      </c>
      <c r="L9" s="5"/>
      <c r="M9" s="180"/>
      <c r="N9" s="5"/>
      <c r="O9" s="18" t="str">
        <f>G9</f>
        <v>D</v>
      </c>
      <c r="P9" s="41"/>
      <c r="R9" s="42"/>
      <c r="W9" s="96"/>
      <c r="Y9" s="193"/>
      <c r="Z9" s="193"/>
      <c r="AA9" s="95"/>
      <c r="AG9" s="41"/>
      <c r="AI9" s="65" t="str">
        <f>IF(AF63="","",AE63)</f>
        <v/>
      </c>
    </row>
    <row r="10" spans="2:35" ht="15.75" thickBot="1" x14ac:dyDescent="0.3">
      <c r="B10" s="40"/>
      <c r="C10" s="12"/>
      <c r="D10" s="41"/>
      <c r="F10" s="40"/>
      <c r="K10" s="52" t="str">
        <f>G7</f>
        <v>B</v>
      </c>
      <c r="L10" s="25"/>
      <c r="M10" s="181"/>
      <c r="N10" s="25"/>
      <c r="O10" s="19" t="str">
        <f>G8</f>
        <v>C</v>
      </c>
      <c r="P10" s="41"/>
      <c r="R10" s="42" t="s">
        <v>74</v>
      </c>
      <c r="S10" s="63">
        <f>H47</f>
        <v>0</v>
      </c>
      <c r="T10" s="5"/>
      <c r="W10" s="96"/>
      <c r="Y10" s="9"/>
      <c r="AA10" s="95"/>
      <c r="AG10" s="41"/>
      <c r="AI10" s="64" t="str">
        <f>IF(AF63="","",IF(AE63=AA57,AA69,AA57))</f>
        <v/>
      </c>
    </row>
    <row r="11" spans="2:35" ht="15.75" thickBot="1" x14ac:dyDescent="0.3">
      <c r="B11" s="40"/>
      <c r="C11" s="12"/>
      <c r="D11" s="41"/>
      <c r="F11" s="40"/>
      <c r="P11" s="48"/>
      <c r="R11" s="42"/>
      <c r="S11" s="11"/>
      <c r="T11" s="11"/>
      <c r="U11" s="35" t="str">
        <f>"------------------"</f>
        <v>------------------</v>
      </c>
      <c r="V11" s="63" t="str">
        <f>IF(T10="","",IF(T10&gt;T12,S10,S12))</f>
        <v/>
      </c>
      <c r="W11" s="5"/>
      <c r="Z11" s="96"/>
      <c r="AG11" s="41"/>
    </row>
    <row r="12" spans="2:35" ht="15.75" thickBot="1" x14ac:dyDescent="0.3">
      <c r="B12" s="40"/>
      <c r="C12" s="12"/>
      <c r="D12" s="41"/>
      <c r="F12" s="40"/>
      <c r="K12" s="160" t="s">
        <v>6</v>
      </c>
      <c r="L12" s="161"/>
      <c r="M12" s="161"/>
      <c r="N12" s="161"/>
      <c r="O12" s="162"/>
      <c r="P12" s="41"/>
      <c r="R12" s="42" t="s">
        <v>71</v>
      </c>
      <c r="S12" s="34">
        <f>H52</f>
        <v>0</v>
      </c>
      <c r="T12" s="5"/>
      <c r="V12" s="172"/>
      <c r="W12" s="172"/>
      <c r="Z12" s="96"/>
      <c r="AG12" s="41"/>
    </row>
    <row r="13" spans="2:35" ht="15.75" thickBot="1" x14ac:dyDescent="0.3">
      <c r="B13" s="40"/>
      <c r="C13" s="12"/>
      <c r="D13" s="41"/>
      <c r="F13" s="40"/>
      <c r="G13" s="33" t="s">
        <v>2</v>
      </c>
      <c r="H13" s="58" t="s">
        <v>3</v>
      </c>
      <c r="I13" s="31" t="s">
        <v>7</v>
      </c>
      <c r="K13" s="53">
        <f>G14</f>
        <v>0</v>
      </c>
      <c r="L13" s="6"/>
      <c r="M13" s="179" t="s">
        <v>5</v>
      </c>
      <c r="N13" s="6"/>
      <c r="O13" s="29">
        <f>G15</f>
        <v>0</v>
      </c>
      <c r="P13" s="41"/>
      <c r="R13" s="42"/>
      <c r="S13" s="9"/>
      <c r="V13" s="9"/>
      <c r="Z13" s="96"/>
      <c r="AG13" s="41"/>
    </row>
    <row r="14" spans="2:35" x14ac:dyDescent="0.25">
      <c r="B14" s="40"/>
      <c r="C14" s="12"/>
      <c r="D14" s="41"/>
      <c r="F14" s="40"/>
      <c r="G14" s="32"/>
      <c r="H14" s="16">
        <f>IF(L13&gt;N13,$C$23,IF(L13=N13,$C$26,C37))+IF(L15&gt;N15,$C$23,IF(L15=N15,$C$26,C37))+IF(L17&gt;N17,$C$23,IF(L17=N17,$C$26,C37))</f>
        <v>3</v>
      </c>
      <c r="I14" s="17">
        <f>L13+L15+L17</f>
        <v>0</v>
      </c>
      <c r="K14" s="51">
        <f>G16</f>
        <v>0</v>
      </c>
      <c r="L14" s="5"/>
      <c r="M14" s="180"/>
      <c r="N14" s="5"/>
      <c r="O14" s="18">
        <f>G17</f>
        <v>0</v>
      </c>
      <c r="P14" s="41"/>
      <c r="R14" s="42"/>
      <c r="S14" s="9"/>
      <c r="Z14" s="96"/>
      <c r="AA14" s="1" t="str">
        <f>"------------------"</f>
        <v>------------------</v>
      </c>
      <c r="AB14" s="63" t="str">
        <f>IF(Z8="","",IF(Z8&gt;Z20,Y8,Y20))</f>
        <v/>
      </c>
      <c r="AC14" s="5"/>
      <c r="AG14" s="41"/>
    </row>
    <row r="15" spans="2:35" x14ac:dyDescent="0.25">
      <c r="B15" s="40"/>
      <c r="C15" s="12"/>
      <c r="D15" s="41"/>
      <c r="F15" s="40"/>
      <c r="G15" s="12"/>
      <c r="H15" s="51">
        <f>IF(N13&gt;L13,$C$23,IF(N13=L13,$C$26,$C$29))+IF(L16&gt;N16,$C$23,IF(L16=N16,$C$26,$C$29))+IF(L18&gt;N18,$C$23,IF(L18=N18,$C$26,$C$29))</f>
        <v>3</v>
      </c>
      <c r="I15" s="18">
        <f>N13+L16+L18</f>
        <v>0</v>
      </c>
      <c r="K15" s="51">
        <f>G14</f>
        <v>0</v>
      </c>
      <c r="L15" s="5"/>
      <c r="M15" s="180"/>
      <c r="N15" s="5"/>
      <c r="O15" s="18">
        <f>G16</f>
        <v>0</v>
      </c>
      <c r="P15" s="41"/>
      <c r="R15" s="42"/>
      <c r="Z15" s="96"/>
      <c r="AC15" s="98"/>
      <c r="AG15" s="41"/>
    </row>
    <row r="16" spans="2:35" x14ac:dyDescent="0.25">
      <c r="B16" s="40"/>
      <c r="C16" s="12"/>
      <c r="D16" s="41"/>
      <c r="F16" s="40"/>
      <c r="G16" s="12"/>
      <c r="H16" s="51">
        <f>IF(L14&gt;N14,$C$23,IF(L14=N14,$C$26,$C$29))+IF(L15&lt;N15,$C$23,IF(L15=N15,$C$26,$C$29))+IF(L18&lt;N18,$C$23,IF(L18=N18,$C$26,$C$29))</f>
        <v>3</v>
      </c>
      <c r="I16" s="18">
        <f>L14+N15+N18</f>
        <v>0</v>
      </c>
      <c r="K16" s="51">
        <f>G15</f>
        <v>0</v>
      </c>
      <c r="L16" s="5"/>
      <c r="M16" s="180"/>
      <c r="N16" s="5"/>
      <c r="O16" s="18">
        <f>G17</f>
        <v>0</v>
      </c>
      <c r="P16" s="41"/>
      <c r="R16" s="42" t="s">
        <v>72</v>
      </c>
      <c r="S16" s="63">
        <f>H58</f>
        <v>0</v>
      </c>
      <c r="T16" s="5"/>
      <c r="Z16" s="96"/>
      <c r="AC16" s="96"/>
      <c r="AG16" s="41"/>
    </row>
    <row r="17" spans="2:33" ht="15.75" thickBot="1" x14ac:dyDescent="0.3">
      <c r="B17" s="40"/>
      <c r="C17" s="12"/>
      <c r="D17" s="41"/>
      <c r="F17" s="40"/>
      <c r="G17" s="13"/>
      <c r="H17" s="52">
        <f>IF(N14&gt;L14,$C$23,IF(N14=L14,$C$26,$C$29))+IF(N16&gt;L16,$C$23,IF(N16=L16,$C$26,$C$29))+IF(N17&gt;L17,$C$23,IF(N17=L17,$C$26,$C$29))</f>
        <v>3</v>
      </c>
      <c r="I17" s="19">
        <f>N14+N16+N17</f>
        <v>0</v>
      </c>
      <c r="K17" s="51">
        <f>G14</f>
        <v>0</v>
      </c>
      <c r="L17" s="5"/>
      <c r="M17" s="180"/>
      <c r="N17" s="5"/>
      <c r="O17" s="18">
        <f>G17</f>
        <v>0</v>
      </c>
      <c r="P17" s="41"/>
      <c r="R17" s="42"/>
      <c r="S17" s="11"/>
      <c r="T17" s="11"/>
      <c r="U17" s="35" t="str">
        <f>"------------------"</f>
        <v>------------------</v>
      </c>
      <c r="V17" s="63" t="str">
        <f>IF(T16="","",IF(T16&gt;T18,S16,S18))</f>
        <v/>
      </c>
      <c r="W17" s="5"/>
      <c r="Z17" s="96"/>
      <c r="AC17" s="96"/>
      <c r="AG17" s="41"/>
    </row>
    <row r="18" spans="2:33" ht="15.75" thickBot="1" x14ac:dyDescent="0.3">
      <c r="B18" s="40"/>
      <c r="C18" s="12"/>
      <c r="D18" s="41"/>
      <c r="F18" s="40"/>
      <c r="K18" s="52">
        <f>G15</f>
        <v>0</v>
      </c>
      <c r="L18" s="25"/>
      <c r="M18" s="181"/>
      <c r="N18" s="25"/>
      <c r="O18" s="19">
        <f>G16</f>
        <v>0</v>
      </c>
      <c r="P18" s="41"/>
      <c r="R18" s="42" t="s">
        <v>73</v>
      </c>
      <c r="S18" s="34">
        <f>H41</f>
        <v>0</v>
      </c>
      <c r="T18" s="5"/>
      <c r="V18" s="172"/>
      <c r="W18" s="192"/>
      <c r="Z18" s="96"/>
      <c r="AC18" s="96"/>
      <c r="AG18" s="41"/>
    </row>
    <row r="19" spans="2:33" ht="15.75" thickBot="1" x14ac:dyDescent="0.3">
      <c r="B19" s="40"/>
      <c r="C19" s="12"/>
      <c r="D19" s="41"/>
      <c r="F19" s="40"/>
      <c r="P19" s="41"/>
      <c r="R19" s="42"/>
      <c r="S19" s="9"/>
      <c r="V19" s="9"/>
      <c r="W19" s="96"/>
      <c r="Z19" s="97"/>
      <c r="AC19" s="96"/>
      <c r="AG19" s="41"/>
    </row>
    <row r="20" spans="2:33" ht="15.75" thickBot="1" x14ac:dyDescent="0.3">
      <c r="B20" s="40"/>
      <c r="C20" s="13"/>
      <c r="D20" s="41"/>
      <c r="F20" s="40"/>
      <c r="K20" s="160" t="s">
        <v>23</v>
      </c>
      <c r="L20" s="161"/>
      <c r="M20" s="161"/>
      <c r="N20" s="161"/>
      <c r="O20" s="162"/>
      <c r="P20" s="41"/>
      <c r="R20" s="42"/>
      <c r="S20" s="9"/>
      <c r="W20" s="96"/>
      <c r="X20" s="1" t="str">
        <f>"------------------"</f>
        <v>------------------</v>
      </c>
      <c r="Y20" s="63" t="str">
        <f>IF(W17="","",IF(W17&gt;W23,V17,V23))</f>
        <v/>
      </c>
      <c r="Z20" s="5"/>
      <c r="AC20" s="96"/>
      <c r="AG20" s="41"/>
    </row>
    <row r="21" spans="2:33" ht="15.75" thickBot="1" x14ac:dyDescent="0.3">
      <c r="B21" s="40"/>
      <c r="D21" s="41"/>
      <c r="F21" s="40"/>
      <c r="G21" s="33" t="s">
        <v>25</v>
      </c>
      <c r="H21" s="58" t="s">
        <v>3</v>
      </c>
      <c r="I21" s="31" t="s">
        <v>7</v>
      </c>
      <c r="K21" s="53">
        <f>G22</f>
        <v>0</v>
      </c>
      <c r="L21" s="6"/>
      <c r="M21" s="179" t="s">
        <v>5</v>
      </c>
      <c r="N21" s="6"/>
      <c r="O21" s="29">
        <f>G23</f>
        <v>0</v>
      </c>
      <c r="P21" s="41"/>
      <c r="R21" s="42"/>
      <c r="W21" s="96"/>
      <c r="AC21" s="96"/>
      <c r="AG21" s="41"/>
    </row>
    <row r="22" spans="2:33" x14ac:dyDescent="0.25">
      <c r="B22" s="40"/>
      <c r="C22" s="14" t="s">
        <v>8</v>
      </c>
      <c r="D22" s="41"/>
      <c r="F22" s="40"/>
      <c r="G22" s="32"/>
      <c r="H22" s="16">
        <f>IF(L21&gt;N21,$C$23,IF(L21=N21,$C$26,C45))+IF(L23&gt;N23,$C$23,IF(L23=N23,$C$26,C45))+IF(L25&gt;N25,$C$23,IF(L25=N25,$C$26,C45))</f>
        <v>3</v>
      </c>
      <c r="I22" s="17">
        <f>L21+L23+L25</f>
        <v>0</v>
      </c>
      <c r="K22" s="51">
        <f>G24</f>
        <v>0</v>
      </c>
      <c r="L22" s="5"/>
      <c r="M22" s="180"/>
      <c r="N22" s="5"/>
      <c r="O22" s="18">
        <f>G25</f>
        <v>0</v>
      </c>
      <c r="P22" s="41"/>
      <c r="R22" s="42" t="s">
        <v>70</v>
      </c>
      <c r="S22" s="63">
        <f>H54</f>
        <v>0</v>
      </c>
      <c r="T22" s="5"/>
      <c r="W22" s="96"/>
      <c r="Y22" s="9"/>
      <c r="AC22" s="96"/>
      <c r="AG22" s="41"/>
    </row>
    <row r="23" spans="2:33" ht="15.75" thickBot="1" x14ac:dyDescent="0.3">
      <c r="B23" s="40"/>
      <c r="C23" s="15">
        <v>3</v>
      </c>
      <c r="D23" s="41"/>
      <c r="F23" s="40"/>
      <c r="G23" s="12"/>
      <c r="H23" s="51">
        <f>IF(N21&gt;L21,$C$23,IF(N21=L21,$C$26,$C$29))+IF(L24&gt;N24,$C$23,IF(L24=N24,$C$26,$C$29))+IF(L26&gt;N26,$C$23,IF(L26=N26,$C$26,$C$29))</f>
        <v>3</v>
      </c>
      <c r="I23" s="18">
        <f>N21+L24+L26</f>
        <v>0</v>
      </c>
      <c r="K23" s="51">
        <f>G22</f>
        <v>0</v>
      </c>
      <c r="L23" s="5"/>
      <c r="M23" s="180"/>
      <c r="N23" s="5"/>
      <c r="O23" s="18">
        <f>G24</f>
        <v>0</v>
      </c>
      <c r="P23" s="41"/>
      <c r="R23" s="42"/>
      <c r="S23" s="11"/>
      <c r="T23" s="11"/>
      <c r="U23" s="35" t="str">
        <f>"------------------"</f>
        <v>------------------</v>
      </c>
      <c r="V23" s="63" t="str">
        <f>IF(T22="","",IF(T22&gt;T24,S22,S24))</f>
        <v/>
      </c>
      <c r="W23" s="5"/>
      <c r="AC23" s="96"/>
      <c r="AG23" s="41"/>
    </row>
    <row r="24" spans="2:33" ht="15.75" thickBot="1" x14ac:dyDescent="0.3">
      <c r="B24" s="40"/>
      <c r="C24" s="11"/>
      <c r="D24" s="41"/>
      <c r="F24" s="40"/>
      <c r="G24" s="12"/>
      <c r="H24" s="51">
        <f>IF(L22&gt;N22,$C$23,IF(L22=N22,$C$26,$C$29))+IF(L23&lt;N23,$C$23,IF(L23=N23,$C$26,$C$29))+IF(L26&lt;N26,$C$23,IF(L26=N26,$C$26,$C$29))</f>
        <v>3</v>
      </c>
      <c r="I24" s="18">
        <f>L22+N23+N26</f>
        <v>0</v>
      </c>
      <c r="K24" s="51">
        <f>G23</f>
        <v>0</v>
      </c>
      <c r="L24" s="5"/>
      <c r="M24" s="180"/>
      <c r="N24" s="5"/>
      <c r="O24" s="18">
        <f>G25</f>
        <v>0</v>
      </c>
      <c r="P24" s="41"/>
      <c r="R24" s="42" t="s">
        <v>69</v>
      </c>
      <c r="S24" s="34">
        <f>H45</f>
        <v>0</v>
      </c>
      <c r="T24" s="5"/>
      <c r="V24" s="172"/>
      <c r="W24" s="172"/>
      <c r="AC24" s="96"/>
      <c r="AG24" s="41"/>
    </row>
    <row r="25" spans="2:33" ht="15.75" thickBot="1" x14ac:dyDescent="0.3">
      <c r="B25" s="40"/>
      <c r="C25" s="14" t="s">
        <v>9</v>
      </c>
      <c r="D25" s="41"/>
      <c r="F25" s="40"/>
      <c r="G25" s="13"/>
      <c r="H25" s="52">
        <f>IF(N22&gt;L22,$C$23,IF(N22=L22,$C$26,$C$29))+IF(N24&gt;L24,$C$23,IF(N24=L24,$C$26,$C$29))+IF(N25&gt;L25,$C$23,IF(N25=L25,$C$26,$C$29))</f>
        <v>3</v>
      </c>
      <c r="I25" s="19">
        <f>N22+N24+N25</f>
        <v>0</v>
      </c>
      <c r="K25" s="51">
        <f>G22</f>
        <v>0</v>
      </c>
      <c r="L25" s="5"/>
      <c r="M25" s="180"/>
      <c r="N25" s="5"/>
      <c r="O25" s="18">
        <f>G25</f>
        <v>0</v>
      </c>
      <c r="P25" s="41"/>
      <c r="R25" s="42"/>
      <c r="S25" s="9"/>
      <c r="V25" s="9"/>
      <c r="AC25" s="96"/>
      <c r="AG25" s="41"/>
    </row>
    <row r="26" spans="2:33" ht="15.75" thickBot="1" x14ac:dyDescent="0.3">
      <c r="B26" s="40"/>
      <c r="C26" s="15">
        <v>1</v>
      </c>
      <c r="D26" s="41"/>
      <c r="F26" s="40"/>
      <c r="K26" s="52">
        <f>G23</f>
        <v>0</v>
      </c>
      <c r="L26" s="25"/>
      <c r="M26" s="181"/>
      <c r="N26" s="25"/>
      <c r="O26" s="19">
        <f>G24</f>
        <v>0</v>
      </c>
      <c r="P26" s="41"/>
      <c r="R26" s="42"/>
      <c r="S26" s="9"/>
      <c r="AC26" s="96"/>
      <c r="AD26" s="1" t="str">
        <f>"------------------"</f>
        <v>------------------</v>
      </c>
      <c r="AE26" s="63" t="str">
        <f>IF(AC14="","",IF(AC14&gt;AC38,AB14,AB20))</f>
        <v/>
      </c>
      <c r="AF26" s="5"/>
      <c r="AG26" s="41"/>
    </row>
    <row r="27" spans="2:33" ht="15.75" thickBot="1" x14ac:dyDescent="0.3">
      <c r="B27" s="40"/>
      <c r="C27" s="11"/>
      <c r="D27" s="41"/>
      <c r="F27" s="40"/>
      <c r="P27" s="41"/>
      <c r="R27" s="42"/>
      <c r="AC27" s="96"/>
      <c r="AG27" s="41"/>
    </row>
    <row r="28" spans="2:33" ht="15.75" thickBot="1" x14ac:dyDescent="0.3">
      <c r="B28" s="40"/>
      <c r="C28" s="14" t="s">
        <v>10</v>
      </c>
      <c r="D28" s="41"/>
      <c r="F28" s="40"/>
      <c r="K28" s="187" t="s">
        <v>24</v>
      </c>
      <c r="L28" s="188"/>
      <c r="M28" s="188"/>
      <c r="N28" s="188"/>
      <c r="O28" s="189"/>
      <c r="P28" s="41"/>
      <c r="R28" s="42" t="s">
        <v>80</v>
      </c>
      <c r="S28" s="63">
        <f>H51</f>
        <v>0</v>
      </c>
      <c r="T28" s="5"/>
      <c r="Y28" s="172"/>
      <c r="Z28" s="172"/>
      <c r="AC28" s="96"/>
      <c r="AG28" s="41"/>
    </row>
    <row r="29" spans="2:33" ht="15.75" thickBot="1" x14ac:dyDescent="0.3">
      <c r="B29" s="40"/>
      <c r="C29" s="15">
        <v>0</v>
      </c>
      <c r="D29" s="41"/>
      <c r="F29" s="40"/>
      <c r="G29" s="33" t="s">
        <v>26</v>
      </c>
      <c r="H29" s="66" t="s">
        <v>3</v>
      </c>
      <c r="I29" s="31" t="s">
        <v>7</v>
      </c>
      <c r="K29" s="16">
        <f>G30</f>
        <v>0</v>
      </c>
      <c r="L29" s="67"/>
      <c r="M29" s="194" t="s">
        <v>5</v>
      </c>
      <c r="N29" s="67"/>
      <c r="O29" s="17">
        <f>G31</f>
        <v>0</v>
      </c>
      <c r="P29" s="41"/>
      <c r="R29" s="42"/>
      <c r="S29" s="11"/>
      <c r="T29" s="11"/>
      <c r="U29" s="35" t="str">
        <f>"------------------"</f>
        <v>------------------</v>
      </c>
      <c r="V29" s="63" t="str">
        <f>IF(T28="","",IF(T28&gt;T30,S28,S30))</f>
        <v/>
      </c>
      <c r="W29" s="5"/>
      <c r="Y29" s="9"/>
      <c r="AC29" s="96"/>
      <c r="AG29" s="41"/>
    </row>
    <row r="30" spans="2:33" ht="15.75" thickBot="1" x14ac:dyDescent="0.3">
      <c r="B30" s="49"/>
      <c r="C30" s="45"/>
      <c r="D30" s="46"/>
      <c r="F30" s="40"/>
      <c r="G30" s="32"/>
      <c r="H30" s="4">
        <f>IF(L29&gt;N29,$C$23,IF(L29=N29,$C$26,C53))+IF(L31&gt;N31,$C$23,IF(L31=N31,$C$26,C53))+IF(L33&gt;N33,$C$23,IF(L33=N33,$C$26,C53))</f>
        <v>3</v>
      </c>
      <c r="I30" s="29">
        <f>L29+L31+L33</f>
        <v>0</v>
      </c>
      <c r="K30" s="51">
        <f>G32</f>
        <v>0</v>
      </c>
      <c r="L30" s="5"/>
      <c r="M30" s="180"/>
      <c r="N30" s="5"/>
      <c r="O30" s="18">
        <f>G33</f>
        <v>0</v>
      </c>
      <c r="P30" s="41"/>
      <c r="R30" s="42" t="s">
        <v>81</v>
      </c>
      <c r="S30" s="34">
        <f>H48</f>
        <v>0</v>
      </c>
      <c r="T30" s="5"/>
      <c r="V30" s="172"/>
      <c r="W30" s="192"/>
      <c r="Y30" s="9"/>
      <c r="AC30" s="96"/>
      <c r="AG30" s="41"/>
    </row>
    <row r="31" spans="2:33" x14ac:dyDescent="0.25">
      <c r="F31" s="40"/>
      <c r="G31" s="12"/>
      <c r="H31" s="2">
        <f>IF(N29&gt;L29,$C$23,IF(N29=L29,$C$26,$C$29))+IF(L32&gt;N32,$C$23,IF(L32=N32,$C$26,$C$29))+IF(L34&gt;N34,$C$23,IF(L34=N34,$C$26,$C$29))</f>
        <v>3</v>
      </c>
      <c r="I31" s="18">
        <f>N29+L32+L34</f>
        <v>0</v>
      </c>
      <c r="K31" s="51">
        <f>G30</f>
        <v>0</v>
      </c>
      <c r="L31" s="5"/>
      <c r="M31" s="180"/>
      <c r="N31" s="5"/>
      <c r="O31" s="18">
        <f>G32</f>
        <v>0</v>
      </c>
      <c r="P31" s="41"/>
      <c r="R31" s="42"/>
      <c r="S31" s="9"/>
      <c r="V31" s="9"/>
      <c r="W31" s="96"/>
      <c r="Y31" s="9"/>
      <c r="AC31" s="96"/>
      <c r="AG31" s="41"/>
    </row>
    <row r="32" spans="2:33" x14ac:dyDescent="0.25">
      <c r="F32" s="40"/>
      <c r="G32" s="12"/>
      <c r="H32" s="2">
        <f>IF(L30&gt;N30,$C$23,IF(L30=N30,$C$26,$C$29))+IF(L31&lt;N31,$C$23,IF(L31=N31,$C$26,$C$29))+IF(L34&lt;N34,$C$23,IF(L34=N34,$C$26,$C$29))</f>
        <v>3</v>
      </c>
      <c r="I32" s="18">
        <f>L30+N31+N34</f>
        <v>0</v>
      </c>
      <c r="K32" s="51">
        <f>G31</f>
        <v>0</v>
      </c>
      <c r="L32" s="5"/>
      <c r="M32" s="180"/>
      <c r="N32" s="5"/>
      <c r="O32" s="18">
        <f>G33</f>
        <v>0</v>
      </c>
      <c r="P32" s="41"/>
      <c r="R32" s="42"/>
      <c r="S32" s="9"/>
      <c r="W32" s="96"/>
      <c r="X32" s="1" t="str">
        <f>"------------------"</f>
        <v>------------------</v>
      </c>
      <c r="Y32" s="63" t="str">
        <f>IF(W29="","",IF(W29&gt;W35,V29,V35))</f>
        <v/>
      </c>
      <c r="Z32" s="5"/>
      <c r="AC32" s="96"/>
      <c r="AG32" s="41"/>
    </row>
    <row r="33" spans="2:33" ht="15.75" thickBot="1" x14ac:dyDescent="0.3">
      <c r="F33" s="40"/>
      <c r="G33" s="13"/>
      <c r="H33" s="28">
        <f>IF(N30&gt;L30,$C$23,IF(N30=L30,$C$26,$C$29))+IF(N32&gt;L32,$C$23,IF(N32=L32,$C$26,$C$29))+IF(N33&gt;L33,$C$23,IF(N33=L33,$C$26,$C$29))</f>
        <v>3</v>
      </c>
      <c r="I33" s="19">
        <f>N30+N32+N33</f>
        <v>0</v>
      </c>
      <c r="K33" s="51">
        <f>G30</f>
        <v>0</v>
      </c>
      <c r="L33" s="5"/>
      <c r="M33" s="180"/>
      <c r="N33" s="5"/>
      <c r="O33" s="18">
        <f>G33</f>
        <v>0</v>
      </c>
      <c r="P33" s="41"/>
      <c r="R33" s="42"/>
      <c r="W33" s="96"/>
      <c r="Z33" s="98"/>
      <c r="AC33" s="96"/>
      <c r="AG33" s="41"/>
    </row>
    <row r="34" spans="2:33" ht="15.75" thickBot="1" x14ac:dyDescent="0.3">
      <c r="F34" s="40"/>
      <c r="K34" s="52">
        <f>G31</f>
        <v>0</v>
      </c>
      <c r="L34" s="25"/>
      <c r="M34" s="181"/>
      <c r="N34" s="25"/>
      <c r="O34" s="19">
        <f>G32</f>
        <v>0</v>
      </c>
      <c r="P34" s="41"/>
      <c r="R34" s="42" t="s">
        <v>78</v>
      </c>
      <c r="S34" s="63">
        <f>H59</f>
        <v>0</v>
      </c>
      <c r="T34" s="5"/>
      <c r="W34" s="96"/>
      <c r="Z34" s="96"/>
      <c r="AC34" s="96"/>
      <c r="AG34" s="41"/>
    </row>
    <row r="35" spans="2:33" ht="15.75" thickBot="1" x14ac:dyDescent="0.3">
      <c r="F35" s="49"/>
      <c r="G35" s="45"/>
      <c r="H35" s="45"/>
      <c r="I35" s="45"/>
      <c r="J35" s="45"/>
      <c r="K35" s="45"/>
      <c r="L35" s="45"/>
      <c r="M35" s="45"/>
      <c r="N35" s="45"/>
      <c r="O35" s="45"/>
      <c r="P35" s="46"/>
      <c r="R35" s="40"/>
      <c r="S35" s="11"/>
      <c r="T35" s="11"/>
      <c r="U35" s="35" t="str">
        <f>"------------------"</f>
        <v>------------------</v>
      </c>
      <c r="V35" s="63" t="str">
        <f>IF(T34="","",IF(T34&gt;T36,S34,S36))</f>
        <v/>
      </c>
      <c r="W35" s="5"/>
      <c r="Z35" s="96"/>
      <c r="AC35" s="96"/>
      <c r="AG35" s="41"/>
    </row>
    <row r="36" spans="2:33" ht="15.75" thickBot="1" x14ac:dyDescent="0.3">
      <c r="R36" s="42" t="s">
        <v>75</v>
      </c>
      <c r="S36" s="34">
        <f>H40</f>
        <v>0</v>
      </c>
      <c r="T36" s="5"/>
      <c r="V36" s="172"/>
      <c r="W36" s="172"/>
      <c r="Z36" s="96"/>
      <c r="AC36" s="96"/>
      <c r="AG36" s="41"/>
    </row>
    <row r="37" spans="2:33" ht="15.75" thickBot="1" x14ac:dyDescent="0.3">
      <c r="B37" s="7"/>
      <c r="C37" s="8" t="s">
        <v>11</v>
      </c>
      <c r="G37" s="37"/>
      <c r="H37" s="38"/>
      <c r="I37" s="39"/>
      <c r="R37" s="42"/>
      <c r="S37" s="9"/>
      <c r="V37" s="9"/>
      <c r="Z37" s="96"/>
      <c r="AC37" s="97"/>
      <c r="AG37" s="41"/>
    </row>
    <row r="38" spans="2:33" ht="15.75" thickBot="1" x14ac:dyDescent="0.3">
      <c r="G38" s="40"/>
      <c r="H38" s="72" t="s">
        <v>62</v>
      </c>
      <c r="I38" s="41"/>
      <c r="R38" s="42"/>
      <c r="S38" s="9"/>
      <c r="Z38" s="96"/>
      <c r="AA38" s="1" t="str">
        <f>"------------------"</f>
        <v>------------------</v>
      </c>
      <c r="AB38" s="63" t="str">
        <f>IF(Z32="","",IF(Z32&gt;Z44,Y32,Y44))</f>
        <v/>
      </c>
      <c r="AC38" s="5"/>
      <c r="AG38" s="41"/>
    </row>
    <row r="39" spans="2:33" x14ac:dyDescent="0.25">
      <c r="G39" s="40"/>
      <c r="H39" s="57"/>
      <c r="I39" s="41"/>
      <c r="R39" s="42"/>
      <c r="Z39" s="96"/>
      <c r="AG39" s="41"/>
    </row>
    <row r="40" spans="2:33" x14ac:dyDescent="0.25">
      <c r="G40" s="40"/>
      <c r="H40" s="12"/>
      <c r="I40" s="41"/>
      <c r="R40" s="42" t="s">
        <v>76</v>
      </c>
      <c r="S40" s="63">
        <f>H46</f>
        <v>0</v>
      </c>
      <c r="T40" s="5"/>
      <c r="Z40" s="96"/>
      <c r="AG40" s="41"/>
    </row>
    <row r="41" spans="2:33" x14ac:dyDescent="0.25">
      <c r="G41" s="40"/>
      <c r="H41" s="12"/>
      <c r="I41" s="41"/>
      <c r="R41" s="42"/>
      <c r="S41" s="11"/>
      <c r="T41" s="11"/>
      <c r="U41" s="35" t="str">
        <f>"------------------"</f>
        <v>------------------</v>
      </c>
      <c r="V41" s="63" t="str">
        <f>IF(T40="","",IF(T40&gt;T42,S40,S42))</f>
        <v/>
      </c>
      <c r="W41" s="5"/>
      <c r="Z41" s="96"/>
      <c r="AG41" s="41"/>
    </row>
    <row r="42" spans="2:33" ht="15.75" thickBot="1" x14ac:dyDescent="0.3">
      <c r="G42" s="40"/>
      <c r="H42" s="13"/>
      <c r="I42" s="41"/>
      <c r="R42" s="42" t="s">
        <v>77</v>
      </c>
      <c r="S42" s="34">
        <f>H53</f>
        <v>0</v>
      </c>
      <c r="T42" s="5"/>
      <c r="V42" s="172"/>
      <c r="W42" s="192"/>
      <c r="Z42" s="96"/>
      <c r="AG42" s="41"/>
    </row>
    <row r="43" spans="2:33" ht="15.75" thickBot="1" x14ac:dyDescent="0.3">
      <c r="G43" s="40"/>
      <c r="I43" s="41"/>
      <c r="R43" s="42"/>
      <c r="S43" s="9"/>
      <c r="V43" s="9"/>
      <c r="W43" s="96"/>
      <c r="Z43" s="97"/>
      <c r="AG43" s="41"/>
    </row>
    <row r="44" spans="2:33" ht="15.75" thickBot="1" x14ac:dyDescent="0.3">
      <c r="G44" s="40"/>
      <c r="H44" s="72" t="s">
        <v>63</v>
      </c>
      <c r="I44" s="41"/>
      <c r="R44" s="42"/>
      <c r="S44" s="9"/>
      <c r="W44" s="96"/>
      <c r="X44" s="1" t="str">
        <f>"------------------"</f>
        <v>------------------</v>
      </c>
      <c r="Y44" s="63" t="str">
        <f>IF(W41="","",IF(W41&gt;W47,V41,V47))</f>
        <v/>
      </c>
      <c r="Z44" s="5"/>
      <c r="AG44" s="41"/>
    </row>
    <row r="45" spans="2:33" x14ac:dyDescent="0.25">
      <c r="G45" s="40"/>
      <c r="H45" s="57"/>
      <c r="I45" s="41"/>
      <c r="R45" s="42"/>
      <c r="W45" s="96"/>
      <c r="AG45" s="41"/>
    </row>
    <row r="46" spans="2:33" x14ac:dyDescent="0.25">
      <c r="G46" s="40"/>
      <c r="H46" s="12"/>
      <c r="I46" s="41"/>
      <c r="R46" s="42" t="s">
        <v>79</v>
      </c>
      <c r="S46" s="63">
        <f>H39</f>
        <v>0</v>
      </c>
      <c r="T46" s="5"/>
      <c r="W46" s="96"/>
      <c r="AB46" s="63" t="str">
        <f>IF(AB14="","",IF(AB14=Y8,Y20,Y8))</f>
        <v/>
      </c>
      <c r="AC46" s="5"/>
      <c r="AG46" s="41"/>
    </row>
    <row r="47" spans="2:33" x14ac:dyDescent="0.25">
      <c r="G47" s="40"/>
      <c r="H47" s="12"/>
      <c r="I47" s="41"/>
      <c r="R47" s="42"/>
      <c r="U47" s="35" t="str">
        <f>"------------------"</f>
        <v>------------------</v>
      </c>
      <c r="V47" s="63"/>
      <c r="W47" s="5"/>
      <c r="AE47" s="63" t="str">
        <f>IF(AC46="","",IF(AC46&gt;AC48,AB46,AB48))</f>
        <v/>
      </c>
      <c r="AF47" s="5"/>
      <c r="AG47" s="41"/>
    </row>
    <row r="48" spans="2:33" ht="15.75" thickBot="1" x14ac:dyDescent="0.3">
      <c r="G48" s="40"/>
      <c r="H48" s="13"/>
      <c r="I48" s="41"/>
      <c r="R48" s="42" t="s">
        <v>68</v>
      </c>
      <c r="S48" s="34">
        <f>H57</f>
        <v>0</v>
      </c>
      <c r="T48" s="5"/>
      <c r="AB48" s="63" t="str">
        <f>IF(AB38="","",IF(AB38=Y32,Y44,Y32))</f>
        <v/>
      </c>
      <c r="AC48" s="5"/>
      <c r="AG48" s="41"/>
    </row>
    <row r="49" spans="7:33" ht="15.75" thickBot="1" x14ac:dyDescent="0.3">
      <c r="G49" s="40"/>
      <c r="I49" s="41"/>
      <c r="R49" s="49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6"/>
    </row>
    <row r="50" spans="7:33" ht="15.75" thickBot="1" x14ac:dyDescent="0.3">
      <c r="G50" s="40"/>
      <c r="H50" s="72" t="s">
        <v>64</v>
      </c>
      <c r="I50" s="41"/>
    </row>
    <row r="51" spans="7:33" ht="15.75" thickBot="1" x14ac:dyDescent="0.3">
      <c r="G51" s="40"/>
      <c r="H51" s="57"/>
      <c r="I51" s="41"/>
      <c r="R51" s="150" t="s">
        <v>28</v>
      </c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2"/>
    </row>
    <row r="52" spans="7:33" x14ac:dyDescent="0.25">
      <c r="G52" s="40"/>
      <c r="H52" s="12"/>
      <c r="I52" s="41"/>
      <c r="R52" s="37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9"/>
    </row>
    <row r="53" spans="7:33" x14ac:dyDescent="0.25">
      <c r="G53" s="40"/>
      <c r="H53" s="12"/>
      <c r="I53" s="41"/>
      <c r="R53" s="40"/>
      <c r="S53" s="63"/>
      <c r="T53" s="5"/>
      <c r="AG53" s="41"/>
    </row>
    <row r="54" spans="7:33" ht="15.75" thickBot="1" x14ac:dyDescent="0.3">
      <c r="G54" s="40"/>
      <c r="H54" s="13"/>
      <c r="I54" s="41"/>
      <c r="N54" s="1" t="s">
        <v>82</v>
      </c>
      <c r="R54" s="40"/>
      <c r="S54" s="11"/>
      <c r="T54" s="11"/>
      <c r="U54" s="95" t="str">
        <f>"------------------"</f>
        <v>------------------</v>
      </c>
      <c r="V54" s="1" t="str">
        <f>"------------------"</f>
        <v>------------------</v>
      </c>
      <c r="W54" s="63" t="str">
        <f>IF(T53="","",IF(T53&gt;T55,S53,S55))</f>
        <v/>
      </c>
      <c r="X54" s="5"/>
      <c r="AG54" s="41"/>
    </row>
    <row r="55" spans="7:33" ht="15.75" thickBot="1" x14ac:dyDescent="0.3">
      <c r="G55" s="40"/>
      <c r="I55" s="41"/>
      <c r="R55" s="40"/>
      <c r="S55" s="34"/>
      <c r="T55" s="5"/>
      <c r="W55" s="11"/>
      <c r="X55" s="11"/>
      <c r="Y55" s="95"/>
      <c r="AG55" s="41"/>
    </row>
    <row r="56" spans="7:33" ht="15.75" thickBot="1" x14ac:dyDescent="0.3">
      <c r="G56" s="40"/>
      <c r="H56" s="72" t="s">
        <v>65</v>
      </c>
      <c r="I56" s="41"/>
      <c r="R56" s="40"/>
      <c r="S56" s="9"/>
      <c r="W56" s="9"/>
      <c r="Y56" s="95"/>
      <c r="AG56" s="41"/>
    </row>
    <row r="57" spans="7:33" x14ac:dyDescent="0.25">
      <c r="G57" s="40"/>
      <c r="H57" s="57"/>
      <c r="I57" s="41"/>
      <c r="R57" s="40"/>
      <c r="S57" s="9"/>
      <c r="Y57" s="95" t="str">
        <f>"------------------"</f>
        <v>------------------</v>
      </c>
      <c r="Z57" s="1" t="str">
        <f>"------------------"</f>
        <v>------------------</v>
      </c>
      <c r="AA57" s="63" t="str">
        <f>IF(X54="","",IF(X54&gt;X60,W54,W60))</f>
        <v/>
      </c>
      <c r="AB57" s="5"/>
      <c r="AG57" s="41"/>
    </row>
    <row r="58" spans="7:33" x14ac:dyDescent="0.25">
      <c r="G58" s="40"/>
      <c r="H58" s="12"/>
      <c r="I58" s="41"/>
      <c r="R58" s="40"/>
      <c r="Y58" s="95"/>
      <c r="AC58" s="95"/>
      <c r="AG58" s="41"/>
    </row>
    <row r="59" spans="7:33" x14ac:dyDescent="0.25">
      <c r="G59" s="40"/>
      <c r="H59" s="12"/>
      <c r="I59" s="41"/>
      <c r="R59" s="40"/>
      <c r="S59" s="63"/>
      <c r="T59" s="5"/>
      <c r="Y59" s="95"/>
      <c r="AC59" s="95"/>
      <c r="AG59" s="41"/>
    </row>
    <row r="60" spans="7:33" ht="15.75" thickBot="1" x14ac:dyDescent="0.3">
      <c r="G60" s="40"/>
      <c r="H60" s="13"/>
      <c r="I60" s="41"/>
      <c r="N60" s="1" t="s">
        <v>83</v>
      </c>
      <c r="R60" s="40"/>
      <c r="S60" s="11"/>
      <c r="T60" s="11"/>
      <c r="U60" s="95" t="str">
        <f>"------------------"</f>
        <v>------------------</v>
      </c>
      <c r="V60" s="1" t="str">
        <f>"------------------"</f>
        <v>------------------</v>
      </c>
      <c r="W60" s="63" t="str">
        <f>IF(T59="","",IF(T59&gt;T61,S59,S61))</f>
        <v/>
      </c>
      <c r="X60" s="5"/>
      <c r="AC60" s="95"/>
      <c r="AG60" s="41"/>
    </row>
    <row r="61" spans="7:33" ht="15.75" thickBot="1" x14ac:dyDescent="0.3">
      <c r="G61" s="49"/>
      <c r="H61" s="45"/>
      <c r="I61" s="46"/>
      <c r="R61" s="40"/>
      <c r="S61" s="34"/>
      <c r="T61" s="5"/>
      <c r="W61" s="11"/>
      <c r="X61" s="11"/>
      <c r="AC61" s="95"/>
      <c r="AG61" s="41"/>
    </row>
    <row r="62" spans="7:33" x14ac:dyDescent="0.25">
      <c r="R62" s="40"/>
      <c r="S62" s="9"/>
      <c r="W62" s="9"/>
      <c r="AC62" s="95"/>
      <c r="AG62" s="41"/>
    </row>
    <row r="63" spans="7:33" x14ac:dyDescent="0.25">
      <c r="R63" s="40"/>
      <c r="S63" s="9"/>
      <c r="AC63" s="95" t="str">
        <f>"------------------"</f>
        <v>------------------</v>
      </c>
      <c r="AD63" s="1" t="str">
        <f>"------------------"</f>
        <v>------------------</v>
      </c>
      <c r="AE63" s="63" t="str">
        <f>IF(AB57="","",IF(AB57&gt;AB69,AA57,AA69))</f>
        <v/>
      </c>
      <c r="AF63" s="5"/>
      <c r="AG63" s="41"/>
    </row>
    <row r="64" spans="7:33" x14ac:dyDescent="0.25">
      <c r="R64" s="40"/>
      <c r="AC64" s="95"/>
      <c r="AG64" s="41"/>
    </row>
    <row r="65" spans="14:33" x14ac:dyDescent="0.25">
      <c r="R65" s="40"/>
      <c r="S65" s="63"/>
      <c r="T65" s="5"/>
      <c r="AC65" s="95"/>
      <c r="AG65" s="41"/>
    </row>
    <row r="66" spans="14:33" x14ac:dyDescent="0.25">
      <c r="N66" s="1" t="s">
        <v>84</v>
      </c>
      <c r="R66" s="40"/>
      <c r="S66" s="11"/>
      <c r="T66" s="11"/>
      <c r="U66" s="95" t="str">
        <f>"------------------"</f>
        <v>------------------</v>
      </c>
      <c r="V66" s="1" t="str">
        <f>"------------------"</f>
        <v>------------------</v>
      </c>
      <c r="W66" s="63" t="str">
        <f>IF(T65="","",IF(T65&gt;T67,S65,S67))</f>
        <v/>
      </c>
      <c r="X66" s="5"/>
      <c r="AC66" s="95"/>
      <c r="AG66" s="41"/>
    </row>
    <row r="67" spans="14:33" x14ac:dyDescent="0.25">
      <c r="R67" s="40"/>
      <c r="S67" s="34"/>
      <c r="T67" s="5"/>
      <c r="W67" s="11"/>
      <c r="X67" s="11"/>
      <c r="Y67" s="95"/>
      <c r="AC67" s="95"/>
      <c r="AG67" s="41"/>
    </row>
    <row r="68" spans="14:33" x14ac:dyDescent="0.25">
      <c r="R68" s="40"/>
      <c r="S68" s="9"/>
      <c r="W68" s="9"/>
      <c r="Y68" s="95"/>
      <c r="AC68" s="95"/>
      <c r="AG68" s="41"/>
    </row>
    <row r="69" spans="14:33" x14ac:dyDescent="0.25">
      <c r="R69" s="40"/>
      <c r="S69" s="9"/>
      <c r="Y69" s="95" t="str">
        <f>"------------------"</f>
        <v>------------------</v>
      </c>
      <c r="Z69" s="1" t="str">
        <f>"------------------"</f>
        <v>------------------</v>
      </c>
      <c r="AA69" s="63" t="str">
        <f>IF(X66="","",IF(X66&gt;X72,W66,W72))</f>
        <v/>
      </c>
      <c r="AB69" s="5"/>
      <c r="AG69" s="41"/>
    </row>
    <row r="70" spans="14:33" x14ac:dyDescent="0.25">
      <c r="R70" s="40"/>
      <c r="Y70" s="95"/>
      <c r="AG70" s="41"/>
    </row>
    <row r="71" spans="14:33" x14ac:dyDescent="0.25">
      <c r="R71" s="40"/>
      <c r="S71" s="63"/>
      <c r="T71" s="5"/>
      <c r="Y71" s="95"/>
      <c r="AG71" s="41"/>
    </row>
    <row r="72" spans="14:33" x14ac:dyDescent="0.25">
      <c r="N72" s="1" t="s">
        <v>85</v>
      </c>
      <c r="R72" s="40"/>
      <c r="U72" s="95" t="str">
        <f>"------------------"</f>
        <v>------------------</v>
      </c>
      <c r="V72" s="1" t="str">
        <f>"------------------"</f>
        <v>------------------</v>
      </c>
      <c r="W72" s="63"/>
      <c r="X72" s="5"/>
      <c r="AG72" s="41"/>
    </row>
    <row r="73" spans="14:33" x14ac:dyDescent="0.25">
      <c r="R73" s="40"/>
      <c r="S73" s="34"/>
      <c r="T73" s="5"/>
      <c r="AG73" s="41"/>
    </row>
    <row r="74" spans="14:33" ht="15.75" thickBot="1" x14ac:dyDescent="0.3">
      <c r="R74" s="49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6"/>
    </row>
  </sheetData>
  <protectedRanges>
    <protectedRange algorithmName="SHA-512" hashValue="DFEKZkfjwVaa91rcPUWznniPfdWvpWyZu9h/X6L9ECdOV+PpGmEH1EKuJa6LysfnP5hwlJ+wWn1ZKHji/qoMZA==" saltValue="/iI4DYz0TEGm/Cjtm+aeug==" spinCount="100000" sqref="C23 C26 C29" name="Saissable6"/>
    <protectedRange algorithmName="SHA-512" hashValue="DFEKZkfjwVaa91rcPUWznniPfdWvpWyZu9h/X6L9ECdOV+PpGmEH1EKuJa6LysfnP5hwlJ+wWn1ZKHji/qoMZA==" saltValue="/iI4DYz0TEGm/Cjtm+aeug==" spinCount="100000" sqref="G6:G8 L5:L10 N5:N10 G14:G16 L13:L18 N13:N18 G22:G24 L21:L26 N21:N26 G30:G32 L29:L34 N29:N34" name="Saissable6_1"/>
    <protectedRange algorithmName="SHA-512" hashValue="DFEKZkfjwVaa91rcPUWznniPfdWvpWyZu9h/X6L9ECdOV+PpGmEH1EKuJa6LysfnP5hwlJ+wWn1ZKHji/qoMZA==" saltValue="/iI4DYz0TEGm/Cjtm+aeug==" spinCount="100000" sqref="T6 T8 T14 T20 T26 Z29 Z31 T32 T38 T44 T48 T12 T18 T24 T30 T36 T42 T57 T63 T69 T73 T55 T61 T67" name="Saissable6_2"/>
    <protectedRange algorithmName="SHA-512" hashValue="DFEKZkfjwVaa91rcPUWznniPfdWvpWyZu9h/X6L9ECdOV+PpGmEH1EKuJa6LysfnP5hwlJ+wWn1ZKHji/qoMZA==" saltValue="/iI4DYz0TEGm/Cjtm+aeug==" spinCount="100000" sqref="W7 W13 W25 Z10 Z22 W19 W31 W37 W43 X56 X62 X68" name="Saissable6_3"/>
  </protectedRanges>
  <mergeCells count="21">
    <mergeCell ref="K12:O12"/>
    <mergeCell ref="V12:W12"/>
    <mergeCell ref="K20:O20"/>
    <mergeCell ref="M21:M26"/>
    <mergeCell ref="B2:D2"/>
    <mergeCell ref="F2:P2"/>
    <mergeCell ref="K4:O4"/>
    <mergeCell ref="M5:M10"/>
    <mergeCell ref="V6:W6"/>
    <mergeCell ref="K28:O28"/>
    <mergeCell ref="M29:M34"/>
    <mergeCell ref="V18:W18"/>
    <mergeCell ref="V30:W30"/>
    <mergeCell ref="M13:M18"/>
    <mergeCell ref="R51:AG51"/>
    <mergeCell ref="V36:W36"/>
    <mergeCell ref="V42:W42"/>
    <mergeCell ref="V24:W24"/>
    <mergeCell ref="R2:AG2"/>
    <mergeCell ref="Y28:Z28"/>
    <mergeCell ref="Y9:Z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0443-E71D-479F-9B9A-C7386CEEDC9D}">
  <sheetPr>
    <tabColor theme="4" tint="0.79998168889431442"/>
    <pageSetUpPr fitToPage="1"/>
  </sheetPr>
  <dimension ref="B1:AA61"/>
  <sheetViews>
    <sheetView workbookViewId="0">
      <selection activeCell="H56" sqref="H56"/>
    </sheetView>
  </sheetViews>
  <sheetFormatPr defaultColWidth="11.42578125" defaultRowHeight="15" x14ac:dyDescent="0.25"/>
  <cols>
    <col min="1" max="1" width="3.7109375" style="1" customWidth="1"/>
    <col min="2" max="2" width="5.7109375" style="1" customWidth="1"/>
    <col min="3" max="3" width="11.42578125" style="1"/>
    <col min="4" max="4" width="5.7109375" style="1" customWidth="1"/>
    <col min="5" max="5" width="3.7109375" style="1" customWidth="1"/>
    <col min="6" max="6" width="5.7109375" style="1" customWidth="1"/>
    <col min="7" max="7" width="24.42578125" style="1" customWidth="1"/>
    <col min="8" max="8" width="13.140625" style="1" bestFit="1" customWidth="1"/>
    <col min="9" max="9" width="11.42578125" style="1"/>
    <col min="10" max="10" width="5.7109375" style="1" customWidth="1"/>
    <col min="11" max="15" width="11.42578125" style="1"/>
    <col min="16" max="16" width="5.7109375" style="1" customWidth="1"/>
    <col min="17" max="17" width="3.7109375" style="1" customWidth="1"/>
    <col min="18" max="18" width="5.7109375" style="1" customWidth="1"/>
    <col min="19" max="19" width="22.85546875" style="1" customWidth="1"/>
    <col min="20" max="21" width="11.42578125" style="1"/>
    <col min="22" max="22" width="22.85546875" style="1" customWidth="1"/>
    <col min="23" max="24" width="11.42578125" style="1"/>
    <col min="25" max="25" width="22.7109375" style="1" customWidth="1"/>
    <col min="26" max="16384" width="11.42578125" style="1"/>
  </cols>
  <sheetData>
    <row r="1" spans="2:27" ht="15.75" thickBot="1" x14ac:dyDescent="0.3">
      <c r="R1" s="9"/>
    </row>
    <row r="2" spans="2:27" ht="15.75" thickBot="1" x14ac:dyDescent="0.3">
      <c r="B2" s="182" t="s">
        <v>21</v>
      </c>
      <c r="C2" s="183"/>
      <c r="D2" s="184"/>
      <c r="F2" s="150" t="s">
        <v>19</v>
      </c>
      <c r="G2" s="151"/>
      <c r="H2" s="151"/>
      <c r="I2" s="151"/>
      <c r="J2" s="151"/>
      <c r="K2" s="151"/>
      <c r="L2" s="151"/>
      <c r="M2" s="151"/>
      <c r="N2" s="151"/>
      <c r="O2" s="151"/>
      <c r="P2" s="152"/>
      <c r="R2" s="150" t="s">
        <v>27</v>
      </c>
      <c r="S2" s="151"/>
      <c r="T2" s="151"/>
      <c r="U2" s="151"/>
      <c r="V2" s="151"/>
      <c r="W2" s="151"/>
      <c r="X2" s="151"/>
      <c r="Y2" s="151"/>
      <c r="Z2" s="151"/>
      <c r="AA2" s="152"/>
    </row>
    <row r="3" spans="2:27" ht="15.75" thickBot="1" x14ac:dyDescent="0.3">
      <c r="B3" s="37"/>
      <c r="C3" s="38"/>
      <c r="D3" s="39"/>
      <c r="F3" s="37"/>
      <c r="G3" s="38"/>
      <c r="H3" s="38"/>
      <c r="I3" s="38"/>
      <c r="J3" s="38"/>
      <c r="K3" s="38"/>
      <c r="L3" s="38"/>
      <c r="M3" s="38"/>
      <c r="N3" s="38"/>
      <c r="O3" s="38"/>
      <c r="P3" s="47"/>
      <c r="R3" s="42"/>
      <c r="AA3" s="41"/>
    </row>
    <row r="4" spans="2:27" ht="15.75" thickBot="1" x14ac:dyDescent="0.3">
      <c r="B4" s="40"/>
      <c r="C4" s="33" t="s">
        <v>0</v>
      </c>
      <c r="D4" s="41"/>
      <c r="F4" s="40"/>
      <c r="K4" s="160" t="s">
        <v>4</v>
      </c>
      <c r="L4" s="161"/>
      <c r="M4" s="161"/>
      <c r="N4" s="161"/>
      <c r="O4" s="162"/>
      <c r="P4" s="41"/>
      <c r="R4" s="42"/>
      <c r="AA4" s="41"/>
    </row>
    <row r="5" spans="2:27" ht="15.75" thickBot="1" x14ac:dyDescent="0.3">
      <c r="B5" s="40"/>
      <c r="C5" s="32"/>
      <c r="D5" s="41"/>
      <c r="F5" s="40"/>
      <c r="G5" s="33" t="s">
        <v>1</v>
      </c>
      <c r="H5" s="58" t="s">
        <v>3</v>
      </c>
      <c r="I5" s="31" t="s">
        <v>7</v>
      </c>
      <c r="K5" s="53">
        <f>G6</f>
        <v>0</v>
      </c>
      <c r="L5" s="6"/>
      <c r="M5" s="179" t="s">
        <v>5</v>
      </c>
      <c r="N5" s="6"/>
      <c r="O5" s="29">
        <f>G7</f>
        <v>0</v>
      </c>
      <c r="P5" s="41"/>
      <c r="R5" s="42"/>
      <c r="S5" s="63">
        <f>H39</f>
        <v>0</v>
      </c>
      <c r="T5" s="5"/>
      <c r="AA5" s="41"/>
    </row>
    <row r="6" spans="2:27" x14ac:dyDescent="0.25">
      <c r="B6" s="40"/>
      <c r="C6" s="12"/>
      <c r="D6" s="41"/>
      <c r="F6" s="40"/>
      <c r="G6" s="32"/>
      <c r="H6" s="16">
        <f>IF(L5&gt;N5,$C$23,IF(L5=N5,$C$26,C29))+IF(L7&gt;N7,$C$23,IF(L7=N7,$C$26,C29))+IF(L9&gt;N9,$C$23,IF(L9=N9,$C$26,C29))</f>
        <v>3</v>
      </c>
      <c r="I6" s="17">
        <f>L5+L7+L9</f>
        <v>0</v>
      </c>
      <c r="K6" s="51">
        <f>G8</f>
        <v>0</v>
      </c>
      <c r="L6" s="5"/>
      <c r="M6" s="180"/>
      <c r="N6" s="5"/>
      <c r="O6" s="18">
        <f>G9</f>
        <v>0</v>
      </c>
      <c r="P6" s="41"/>
      <c r="R6" s="42"/>
      <c r="S6" s="172"/>
      <c r="T6" s="192"/>
      <c r="AA6" s="41"/>
    </row>
    <row r="7" spans="2:27" x14ac:dyDescent="0.25">
      <c r="B7" s="40"/>
      <c r="C7" s="12"/>
      <c r="D7" s="41"/>
      <c r="F7" s="40"/>
      <c r="G7" s="12"/>
      <c r="H7" s="51">
        <f>IF(N5&gt;L5,$C$23,IF(N5=L5,$C$26,$C$29))+IF(L8&gt;N8,$C$23,IF(L8=N8,$C$26,$C$29))+IF(L10&gt;N10,$C$23,IF(L10=N10,$C$26,$C$29))</f>
        <v>3</v>
      </c>
      <c r="I7" s="18">
        <f>N5+L8+L10</f>
        <v>0</v>
      </c>
      <c r="K7" s="51">
        <f>G6</f>
        <v>0</v>
      </c>
      <c r="L7" s="5"/>
      <c r="M7" s="180"/>
      <c r="N7" s="5"/>
      <c r="O7" s="18">
        <f>G8</f>
        <v>0</v>
      </c>
      <c r="P7" s="41"/>
      <c r="R7" s="42"/>
      <c r="S7" s="9"/>
      <c r="T7" s="96"/>
      <c r="AA7" s="41"/>
    </row>
    <row r="8" spans="2:27" x14ac:dyDescent="0.25">
      <c r="B8" s="40"/>
      <c r="C8" s="12"/>
      <c r="D8" s="41"/>
      <c r="F8" s="40"/>
      <c r="G8" s="12"/>
      <c r="H8" s="51">
        <f>IF(L6&gt;N6,$C$23,IF(L6=N6,$C$26,$C$29))+IF(L7&lt;N7,$C$23,IF(L7=N7,$C$26,$C$29))+IF(L10&lt;N10,$C$23,IF(L10=N10,$C$26,$C$29))</f>
        <v>3</v>
      </c>
      <c r="I8" s="18">
        <f>L6+N7+N10</f>
        <v>0</v>
      </c>
      <c r="K8" s="51">
        <f>G7</f>
        <v>0</v>
      </c>
      <c r="L8" s="5"/>
      <c r="M8" s="180"/>
      <c r="N8" s="5"/>
      <c r="O8" s="18">
        <f>G9</f>
        <v>0</v>
      </c>
      <c r="P8" s="41"/>
      <c r="R8" s="42"/>
      <c r="T8" s="96"/>
      <c r="U8" s="1" t="str">
        <f>"------------------"</f>
        <v>------------------</v>
      </c>
      <c r="V8" s="63" t="str">
        <f>IF(T5="","",IF(T5&gt;T11,S5,S11))</f>
        <v/>
      </c>
      <c r="W8" s="5"/>
      <c r="AA8" s="41"/>
    </row>
    <row r="9" spans="2:27" ht="15.75" thickBot="1" x14ac:dyDescent="0.3">
      <c r="B9" s="40"/>
      <c r="C9" s="12"/>
      <c r="D9" s="41"/>
      <c r="F9" s="40"/>
      <c r="G9" s="13"/>
      <c r="H9" s="52">
        <f>IF(N6&gt;L6,$C$23,IF(N6=L6,$C$26,$C$29))+IF(N8&gt;L8,$C$23,IF(N8=L8,$C$26,$C$29))+IF(N9&gt;L9,$C$23,IF(N9=L9,$C$26,$C$29))</f>
        <v>3</v>
      </c>
      <c r="I9" s="19">
        <f>N6+N8+N9</f>
        <v>0</v>
      </c>
      <c r="K9" s="51">
        <f>G6</f>
        <v>0</v>
      </c>
      <c r="L9" s="5"/>
      <c r="M9" s="180"/>
      <c r="N9" s="5"/>
      <c r="O9" s="18">
        <f>G9</f>
        <v>0</v>
      </c>
      <c r="P9" s="41"/>
      <c r="R9" s="42"/>
      <c r="T9" s="96"/>
      <c r="V9" s="193"/>
      <c r="W9" s="193"/>
      <c r="X9" s="95"/>
      <c r="AA9" s="41"/>
    </row>
    <row r="10" spans="2:27" ht="15.75" thickBot="1" x14ac:dyDescent="0.3">
      <c r="B10" s="40"/>
      <c r="C10" s="12"/>
      <c r="D10" s="41"/>
      <c r="F10" s="40"/>
      <c r="K10" s="52">
        <f>G7</f>
        <v>0</v>
      </c>
      <c r="L10" s="25"/>
      <c r="M10" s="181"/>
      <c r="N10" s="25"/>
      <c r="O10" s="19">
        <f>G8</f>
        <v>0</v>
      </c>
      <c r="P10" s="41"/>
      <c r="R10" s="42"/>
      <c r="T10" s="96"/>
      <c r="V10" s="9"/>
      <c r="X10" s="95"/>
      <c r="AA10" s="41"/>
    </row>
    <row r="11" spans="2:27" ht="15.75" thickBot="1" x14ac:dyDescent="0.3">
      <c r="B11" s="40"/>
      <c r="C11" s="12"/>
      <c r="D11" s="41"/>
      <c r="F11" s="40"/>
      <c r="P11" s="48"/>
      <c r="R11" s="42"/>
      <c r="S11" s="63">
        <f>H46</f>
        <v>0</v>
      </c>
      <c r="T11" s="5"/>
      <c r="W11" s="96"/>
      <c r="AA11" s="41"/>
    </row>
    <row r="12" spans="2:27" ht="15.75" thickBot="1" x14ac:dyDescent="0.3">
      <c r="B12" s="40"/>
      <c r="C12" s="12"/>
      <c r="D12" s="41"/>
      <c r="F12" s="40"/>
      <c r="K12" s="160" t="s">
        <v>6</v>
      </c>
      <c r="L12" s="161"/>
      <c r="M12" s="161"/>
      <c r="N12" s="161"/>
      <c r="O12" s="162"/>
      <c r="P12" s="41"/>
      <c r="R12" s="42"/>
      <c r="S12" s="172"/>
      <c r="T12" s="172"/>
      <c r="W12" s="96"/>
      <c r="AA12" s="41"/>
    </row>
    <row r="13" spans="2:27" ht="15.75" thickBot="1" x14ac:dyDescent="0.3">
      <c r="B13" s="40"/>
      <c r="C13" s="12"/>
      <c r="D13" s="41"/>
      <c r="F13" s="40"/>
      <c r="G13" s="33" t="s">
        <v>2</v>
      </c>
      <c r="H13" s="58" t="s">
        <v>3</v>
      </c>
      <c r="I13" s="31" t="s">
        <v>7</v>
      </c>
      <c r="K13" s="53">
        <f>G14</f>
        <v>0</v>
      </c>
      <c r="L13" s="6"/>
      <c r="M13" s="179" t="s">
        <v>5</v>
      </c>
      <c r="N13" s="6"/>
      <c r="O13" s="29">
        <f>G15</f>
        <v>0</v>
      </c>
      <c r="P13" s="41"/>
      <c r="R13" s="42"/>
      <c r="S13" s="9"/>
      <c r="W13" s="96"/>
      <c r="AA13" s="41"/>
    </row>
    <row r="14" spans="2:27" x14ac:dyDescent="0.25">
      <c r="B14" s="40"/>
      <c r="C14" s="12"/>
      <c r="D14" s="41"/>
      <c r="F14" s="40"/>
      <c r="G14" s="32"/>
      <c r="H14" s="16">
        <f>IF(L13&gt;N13,$C$23,IF(L13=N13,$C$26,C37))+IF(L15&gt;N15,$C$23,IF(L15=N15,$C$26,C37))+IF(L17&gt;N17,$C$23,IF(L17=N17,$C$26,C37))</f>
        <v>3</v>
      </c>
      <c r="I14" s="17">
        <f>L13+L15+L17</f>
        <v>0</v>
      </c>
      <c r="K14" s="51">
        <f>G16</f>
        <v>0</v>
      </c>
      <c r="L14" s="5"/>
      <c r="M14" s="180"/>
      <c r="N14" s="5"/>
      <c r="O14" s="18">
        <f>G17</f>
        <v>0</v>
      </c>
      <c r="P14" s="41"/>
      <c r="R14" s="42"/>
      <c r="W14" s="96"/>
      <c r="X14" s="1" t="str">
        <f>"------------------"</f>
        <v>------------------</v>
      </c>
      <c r="Y14" s="63" t="str">
        <f>IF(W8="","",IF(W8&gt;W20,V8,V20))</f>
        <v/>
      </c>
      <c r="Z14" s="5"/>
      <c r="AA14" s="41"/>
    </row>
    <row r="15" spans="2:27" x14ac:dyDescent="0.25">
      <c r="B15" s="40"/>
      <c r="C15" s="12"/>
      <c r="D15" s="41"/>
      <c r="F15" s="40"/>
      <c r="G15" s="12"/>
      <c r="H15" s="51">
        <f>IF(N13&gt;L13,$C$23,IF(N13=L13,$C$26,$C$29))+IF(L16&gt;N16,$C$23,IF(L16=N16,$C$26,$C$29))+IF(L18&gt;N18,$C$23,IF(L18=N18,$C$26,$C$29))</f>
        <v>3</v>
      </c>
      <c r="I15" s="18">
        <f>N13+L16+L18</f>
        <v>0</v>
      </c>
      <c r="K15" s="51">
        <f>G14</f>
        <v>0</v>
      </c>
      <c r="L15" s="5"/>
      <c r="M15" s="180"/>
      <c r="N15" s="5"/>
      <c r="O15" s="18">
        <f>G16</f>
        <v>0</v>
      </c>
      <c r="P15" s="41"/>
      <c r="R15" s="42"/>
      <c r="W15" s="96"/>
      <c r="Z15" s="98"/>
      <c r="AA15" s="41"/>
    </row>
    <row r="16" spans="2:27" x14ac:dyDescent="0.25">
      <c r="B16" s="40"/>
      <c r="C16" s="12"/>
      <c r="D16" s="41"/>
      <c r="F16" s="40"/>
      <c r="G16" s="12"/>
      <c r="H16" s="51">
        <f>IF(L14&gt;N14,$C$23,IF(L14=N14,$C$26,$C$29))+IF(L15&lt;N15,$C$23,IF(L15=N15,$C$26,$C$29))+IF(L18&lt;N18,$C$23,IF(L18=N18,$C$26,$C$29))</f>
        <v>3</v>
      </c>
      <c r="I16" s="18">
        <f>L14+N15+N18</f>
        <v>0</v>
      </c>
      <c r="K16" s="51">
        <f>G15</f>
        <v>0</v>
      </c>
      <c r="L16" s="5"/>
      <c r="M16" s="180"/>
      <c r="N16" s="5"/>
      <c r="O16" s="18">
        <f>G17</f>
        <v>0</v>
      </c>
      <c r="P16" s="41"/>
      <c r="R16" s="42"/>
      <c r="W16" s="96"/>
      <c r="Z16" s="96"/>
      <c r="AA16" s="41"/>
    </row>
    <row r="17" spans="2:27" ht="15.75" thickBot="1" x14ac:dyDescent="0.3">
      <c r="B17" s="40"/>
      <c r="C17" s="12"/>
      <c r="D17" s="41"/>
      <c r="F17" s="40"/>
      <c r="G17" s="13"/>
      <c r="H17" s="52">
        <f>IF(N14&gt;L14,$C$23,IF(N14=L14,$C$26,$C$29))+IF(N16&gt;L16,$C$23,IF(N16=L16,$C$26,$C$29))+IF(N17&gt;L17,$C$23,IF(N17=L17,$C$26,$C$29))</f>
        <v>3</v>
      </c>
      <c r="I17" s="19">
        <f>N14+N16+N17</f>
        <v>0</v>
      </c>
      <c r="K17" s="51">
        <f>G14</f>
        <v>0</v>
      </c>
      <c r="L17" s="5"/>
      <c r="M17" s="180"/>
      <c r="N17" s="5"/>
      <c r="O17" s="18">
        <f>G17</f>
        <v>0</v>
      </c>
      <c r="P17" s="41"/>
      <c r="R17" s="42"/>
      <c r="S17" s="63">
        <f>H52</f>
        <v>0</v>
      </c>
      <c r="T17" s="5"/>
      <c r="W17" s="96"/>
      <c r="Z17" s="96"/>
      <c r="AA17" s="41"/>
    </row>
    <row r="18" spans="2:27" ht="15.75" thickBot="1" x14ac:dyDescent="0.3">
      <c r="B18" s="40"/>
      <c r="C18" s="12"/>
      <c r="D18" s="41"/>
      <c r="F18" s="40"/>
      <c r="K18" s="52">
        <f>G15</f>
        <v>0</v>
      </c>
      <c r="L18" s="25"/>
      <c r="M18" s="181"/>
      <c r="N18" s="25"/>
      <c r="O18" s="19">
        <f>G16</f>
        <v>0</v>
      </c>
      <c r="P18" s="41"/>
      <c r="R18" s="42"/>
      <c r="S18" s="172"/>
      <c r="T18" s="192"/>
      <c r="W18" s="96"/>
      <c r="Z18" s="96"/>
      <c r="AA18" s="41"/>
    </row>
    <row r="19" spans="2:27" ht="15.75" thickBot="1" x14ac:dyDescent="0.3">
      <c r="B19" s="40"/>
      <c r="C19" s="12"/>
      <c r="D19" s="41"/>
      <c r="F19" s="40"/>
      <c r="P19" s="41"/>
      <c r="R19" s="42"/>
      <c r="S19" s="9"/>
      <c r="T19" s="96"/>
      <c r="W19" s="97"/>
      <c r="Z19" s="96"/>
      <c r="AA19" s="41"/>
    </row>
    <row r="20" spans="2:27" ht="15.75" thickBot="1" x14ac:dyDescent="0.3">
      <c r="B20" s="40"/>
      <c r="C20" s="13"/>
      <c r="D20" s="41"/>
      <c r="F20" s="40"/>
      <c r="K20" s="160" t="s">
        <v>23</v>
      </c>
      <c r="L20" s="161"/>
      <c r="M20" s="161"/>
      <c r="N20" s="161"/>
      <c r="O20" s="162"/>
      <c r="P20" s="41"/>
      <c r="R20" s="42"/>
      <c r="T20" s="96"/>
      <c r="U20" s="1" t="str">
        <f>"------------------"</f>
        <v>------------------</v>
      </c>
      <c r="V20" s="63" t="str">
        <f>IF(T17="","",IF(T17&gt;T23,S17,S23))</f>
        <v/>
      </c>
      <c r="W20" s="5"/>
      <c r="Z20" s="96"/>
      <c r="AA20" s="41"/>
    </row>
    <row r="21" spans="2:27" ht="15.75" thickBot="1" x14ac:dyDescent="0.3">
      <c r="B21" s="40"/>
      <c r="D21" s="41"/>
      <c r="F21" s="40"/>
      <c r="G21" s="33" t="s">
        <v>25</v>
      </c>
      <c r="H21" s="58" t="s">
        <v>3</v>
      </c>
      <c r="I21" s="31" t="s">
        <v>7</v>
      </c>
      <c r="K21" s="53">
        <f>G22</f>
        <v>0</v>
      </c>
      <c r="L21" s="6"/>
      <c r="M21" s="179" t="s">
        <v>5</v>
      </c>
      <c r="N21" s="6"/>
      <c r="O21" s="29">
        <f>G23</f>
        <v>0</v>
      </c>
      <c r="P21" s="41"/>
      <c r="R21" s="42"/>
      <c r="T21" s="96"/>
      <c r="Z21" s="96"/>
      <c r="AA21" s="41"/>
    </row>
    <row r="22" spans="2:27" x14ac:dyDescent="0.25">
      <c r="B22" s="40"/>
      <c r="C22" s="14" t="s">
        <v>8</v>
      </c>
      <c r="D22" s="41"/>
      <c r="F22" s="40"/>
      <c r="G22" s="32"/>
      <c r="H22" s="16">
        <f>IF(L21&gt;N21,$C$23,IF(L21=N21,$C$26,C45))+IF(L23&gt;N23,$C$23,IF(L23=N23,$C$26,C45))+IF(L25&gt;N25,$C$23,IF(L25=N25,$C$26,C45))</f>
        <v>3</v>
      </c>
      <c r="I22" s="17">
        <f>L21+L23+L25</f>
        <v>0</v>
      </c>
      <c r="K22" s="51">
        <f>G24</f>
        <v>0</v>
      </c>
      <c r="L22" s="5"/>
      <c r="M22" s="180"/>
      <c r="N22" s="5"/>
      <c r="O22" s="18">
        <f>G25</f>
        <v>0</v>
      </c>
      <c r="P22" s="41"/>
      <c r="R22" s="42"/>
      <c r="T22" s="96"/>
      <c r="V22" s="9"/>
      <c r="Z22" s="96"/>
      <c r="AA22" s="41"/>
    </row>
    <row r="23" spans="2:27" ht="15.75" thickBot="1" x14ac:dyDescent="0.3">
      <c r="B23" s="40"/>
      <c r="C23" s="15">
        <v>3</v>
      </c>
      <c r="D23" s="41"/>
      <c r="F23" s="40"/>
      <c r="G23" s="12"/>
      <c r="H23" s="51">
        <f>IF(N21&gt;L21,$C$23,IF(N21=L21,$C$26,$C$29))+IF(L24&gt;N24,$C$23,IF(L24=N24,$C$26,$C$29))+IF(L26&gt;N26,$C$23,IF(L26=N26,$C$26,$C$29))</f>
        <v>3</v>
      </c>
      <c r="I23" s="18">
        <f>N21+L24+L26</f>
        <v>0</v>
      </c>
      <c r="K23" s="51">
        <f>G22</f>
        <v>0</v>
      </c>
      <c r="L23" s="5"/>
      <c r="M23" s="180"/>
      <c r="N23" s="5"/>
      <c r="O23" s="18">
        <f>G24</f>
        <v>0</v>
      </c>
      <c r="P23" s="41"/>
      <c r="R23" s="42"/>
      <c r="S23" s="63">
        <f>H57</f>
        <v>0</v>
      </c>
      <c r="T23" s="5"/>
      <c r="Z23" s="96"/>
      <c r="AA23" s="41"/>
    </row>
    <row r="24" spans="2:27" ht="15.75" thickBot="1" x14ac:dyDescent="0.3">
      <c r="B24" s="40"/>
      <c r="C24" s="11"/>
      <c r="D24" s="41"/>
      <c r="F24" s="40"/>
      <c r="G24" s="12"/>
      <c r="H24" s="51">
        <f>IF(L22&gt;N22,$C$23,IF(L22=N22,$C$26,$C$29))+IF(L23&lt;N23,$C$23,IF(L23=N23,$C$26,$C$29))+IF(L26&lt;N26,$C$23,IF(L26=N26,$C$26,$C$29))</f>
        <v>3</v>
      </c>
      <c r="I24" s="18">
        <f>L22+N23+N26</f>
        <v>0</v>
      </c>
      <c r="K24" s="51">
        <f>G23</f>
        <v>0</v>
      </c>
      <c r="L24" s="5"/>
      <c r="M24" s="180"/>
      <c r="N24" s="5"/>
      <c r="O24" s="18">
        <f>G25</f>
        <v>0</v>
      </c>
      <c r="P24" s="41"/>
      <c r="R24" s="42"/>
      <c r="S24" s="172"/>
      <c r="T24" s="172"/>
      <c r="Z24" s="96"/>
      <c r="AA24" s="41"/>
    </row>
    <row r="25" spans="2:27" ht="15.75" thickBot="1" x14ac:dyDescent="0.3">
      <c r="B25" s="40"/>
      <c r="C25" s="14" t="s">
        <v>9</v>
      </c>
      <c r="D25" s="41"/>
      <c r="F25" s="40"/>
      <c r="G25" s="13"/>
      <c r="H25" s="52">
        <f>IF(N22&gt;L22,$C$23,IF(N22=L22,$C$26,$C$29))+IF(N24&gt;L24,$C$23,IF(N24=L24,$C$26,$C$29))+IF(N25&gt;L25,$C$23,IF(N25=L25,$C$26,$C$29))</f>
        <v>3</v>
      </c>
      <c r="I25" s="19">
        <f>N22+N24+N25</f>
        <v>0</v>
      </c>
      <c r="K25" s="51">
        <f>G22</f>
        <v>0</v>
      </c>
      <c r="L25" s="5"/>
      <c r="M25" s="180"/>
      <c r="N25" s="5"/>
      <c r="O25" s="18">
        <f>G25</f>
        <v>0</v>
      </c>
      <c r="P25" s="41"/>
      <c r="R25" s="42"/>
      <c r="S25" s="9"/>
      <c r="Z25" s="96"/>
      <c r="AA25" s="41"/>
    </row>
    <row r="26" spans="2:27" ht="15.75" thickBot="1" x14ac:dyDescent="0.3">
      <c r="B26" s="40"/>
      <c r="C26" s="15">
        <v>1</v>
      </c>
      <c r="D26" s="41"/>
      <c r="F26" s="40"/>
      <c r="K26" s="52">
        <f>G23</f>
        <v>0</v>
      </c>
      <c r="L26" s="25"/>
      <c r="M26" s="181"/>
      <c r="N26" s="25"/>
      <c r="O26" s="19">
        <f>G24</f>
        <v>0</v>
      </c>
      <c r="P26" s="41"/>
      <c r="R26" s="42"/>
      <c r="Z26" s="96"/>
      <c r="AA26" s="41"/>
    </row>
    <row r="27" spans="2:27" ht="15.75" thickBot="1" x14ac:dyDescent="0.3">
      <c r="B27" s="40"/>
      <c r="C27" s="11"/>
      <c r="D27" s="41"/>
      <c r="F27" s="40"/>
      <c r="P27" s="41"/>
      <c r="R27" s="42"/>
      <c r="Z27" s="96"/>
      <c r="AA27" s="41"/>
    </row>
    <row r="28" spans="2:27" ht="15.75" thickBot="1" x14ac:dyDescent="0.3">
      <c r="B28" s="40"/>
      <c r="C28" s="14" t="s">
        <v>10</v>
      </c>
      <c r="D28" s="41"/>
      <c r="F28" s="40"/>
      <c r="K28" s="187" t="s">
        <v>24</v>
      </c>
      <c r="L28" s="188"/>
      <c r="M28" s="188"/>
      <c r="N28" s="188"/>
      <c r="O28" s="189"/>
      <c r="P28" s="41"/>
      <c r="R28" s="42"/>
      <c r="V28" s="172"/>
      <c r="W28" s="172"/>
      <c r="Z28" s="96"/>
      <c r="AA28" s="41"/>
    </row>
    <row r="29" spans="2:27" ht="15.75" thickBot="1" x14ac:dyDescent="0.3">
      <c r="B29" s="40"/>
      <c r="C29" s="15">
        <v>0</v>
      </c>
      <c r="D29" s="41"/>
      <c r="F29" s="40"/>
      <c r="G29" s="33" t="s">
        <v>26</v>
      </c>
      <c r="H29" s="66" t="s">
        <v>3</v>
      </c>
      <c r="I29" s="31" t="s">
        <v>7</v>
      </c>
      <c r="K29" s="16">
        <f>G30</f>
        <v>0</v>
      </c>
      <c r="L29" s="67"/>
      <c r="M29" s="194" t="s">
        <v>5</v>
      </c>
      <c r="N29" s="67"/>
      <c r="O29" s="17">
        <f>G31</f>
        <v>0</v>
      </c>
      <c r="P29" s="41"/>
      <c r="R29" s="42"/>
      <c r="S29" s="63">
        <f>H40</f>
        <v>0</v>
      </c>
      <c r="T29" s="5"/>
      <c r="V29" s="9"/>
      <c r="Z29" s="96"/>
      <c r="AA29" s="41"/>
    </row>
    <row r="30" spans="2:27" ht="15.75" thickBot="1" x14ac:dyDescent="0.3">
      <c r="B30" s="49"/>
      <c r="C30" s="45"/>
      <c r="D30" s="46"/>
      <c r="F30" s="40"/>
      <c r="G30" s="32"/>
      <c r="H30" s="4">
        <f>IF(L29&gt;N29,$C$23,IF(L29=N29,$C$26,C53))+IF(L31&gt;N31,$C$23,IF(L31=N31,$C$26,C53))+IF(L33&gt;N33,$C$23,IF(L33=N33,$C$26,C53))</f>
        <v>3</v>
      </c>
      <c r="I30" s="29">
        <f>L29+L31+L33</f>
        <v>0</v>
      </c>
      <c r="K30" s="51">
        <f>G32</f>
        <v>0</v>
      </c>
      <c r="L30" s="5"/>
      <c r="M30" s="180"/>
      <c r="N30" s="5"/>
      <c r="O30" s="18">
        <f>G33</f>
        <v>0</v>
      </c>
      <c r="P30" s="41"/>
      <c r="R30" s="42"/>
      <c r="S30" s="172"/>
      <c r="T30" s="192"/>
      <c r="V30" s="9"/>
      <c r="Z30" s="96"/>
      <c r="AA30" s="41"/>
    </row>
    <row r="31" spans="2:27" x14ac:dyDescent="0.25">
      <c r="F31" s="40"/>
      <c r="G31" s="12"/>
      <c r="H31" s="2">
        <f>IF(N29&gt;L29,$C$23,IF(N29=L29,$C$26,$C$29))+IF(L32&gt;N32,$C$23,IF(L32=N32,$C$26,$C$29))+IF(L34&gt;N34,$C$23,IF(L34=N34,$C$26,$C$29))</f>
        <v>3</v>
      </c>
      <c r="I31" s="18">
        <f>N29+L32+L34</f>
        <v>0</v>
      </c>
      <c r="K31" s="51">
        <f>G30</f>
        <v>0</v>
      </c>
      <c r="L31" s="5"/>
      <c r="M31" s="180"/>
      <c r="N31" s="5"/>
      <c r="O31" s="18">
        <f>G32</f>
        <v>0</v>
      </c>
      <c r="P31" s="41"/>
      <c r="R31" s="42"/>
      <c r="S31" s="9"/>
      <c r="T31" s="96"/>
      <c r="V31" s="9"/>
      <c r="Z31" s="96"/>
      <c r="AA31" s="41"/>
    </row>
    <row r="32" spans="2:27" x14ac:dyDescent="0.25">
      <c r="F32" s="40"/>
      <c r="G32" s="12"/>
      <c r="H32" s="2">
        <f>IF(L30&gt;N30,$C$23,IF(L30=N30,$C$26,$C$29))+IF(L31&lt;N31,$C$23,IF(L31=N31,$C$26,$C$29))+IF(L34&lt;N34,$C$23,IF(L34=N34,$C$26,$C$29))</f>
        <v>3</v>
      </c>
      <c r="I32" s="18">
        <f>L30+N31+N34</f>
        <v>0</v>
      </c>
      <c r="K32" s="51">
        <f>G31</f>
        <v>0</v>
      </c>
      <c r="L32" s="5"/>
      <c r="M32" s="180"/>
      <c r="N32" s="5"/>
      <c r="O32" s="18">
        <f>G33</f>
        <v>0</v>
      </c>
      <c r="P32" s="41"/>
      <c r="R32" s="42"/>
      <c r="T32" s="96"/>
      <c r="U32" s="1" t="str">
        <f>"------------------"</f>
        <v>------------------</v>
      </c>
      <c r="V32" s="63" t="str">
        <f>IF(T29="","",IF(T29&gt;T35,S29,S35))</f>
        <v/>
      </c>
      <c r="W32" s="5"/>
      <c r="Z32" s="96"/>
      <c r="AA32" s="41"/>
    </row>
    <row r="33" spans="2:27" ht="15.75" thickBot="1" x14ac:dyDescent="0.3">
      <c r="F33" s="40"/>
      <c r="G33" s="13"/>
      <c r="H33" s="28">
        <f>IF(N30&gt;L30,$C$23,IF(N30=L30,$C$26,$C$29))+IF(N32&gt;L32,$C$23,IF(N32=L32,$C$26,$C$29))+IF(N33&gt;L33,$C$23,IF(N33=L33,$C$26,$C$29))</f>
        <v>3</v>
      </c>
      <c r="I33" s="19">
        <f>N30+N32+N33</f>
        <v>0</v>
      </c>
      <c r="K33" s="51">
        <f>G30</f>
        <v>0</v>
      </c>
      <c r="L33" s="5"/>
      <c r="M33" s="180"/>
      <c r="N33" s="5"/>
      <c r="O33" s="18">
        <f>G33</f>
        <v>0</v>
      </c>
      <c r="P33" s="41"/>
      <c r="R33" s="42"/>
      <c r="T33" s="96"/>
      <c r="W33" s="98"/>
      <c r="Z33" s="96"/>
      <c r="AA33" s="41"/>
    </row>
    <row r="34" spans="2:27" ht="15.75" thickBot="1" x14ac:dyDescent="0.3">
      <c r="F34" s="40"/>
      <c r="K34" s="52">
        <f>G31</f>
        <v>0</v>
      </c>
      <c r="L34" s="25"/>
      <c r="M34" s="181"/>
      <c r="N34" s="25"/>
      <c r="O34" s="19">
        <f>G32</f>
        <v>0</v>
      </c>
      <c r="P34" s="41"/>
      <c r="R34" s="42"/>
      <c r="T34" s="96"/>
      <c r="W34" s="96"/>
      <c r="Z34" s="96"/>
      <c r="AA34" s="41"/>
    </row>
    <row r="35" spans="2:27" ht="15.75" thickBot="1" x14ac:dyDescent="0.3">
      <c r="F35" s="49"/>
      <c r="G35" s="45"/>
      <c r="H35" s="45"/>
      <c r="I35" s="45"/>
      <c r="J35" s="45"/>
      <c r="K35" s="45"/>
      <c r="L35" s="45"/>
      <c r="M35" s="45"/>
      <c r="N35" s="45"/>
      <c r="O35" s="45"/>
      <c r="P35" s="46"/>
      <c r="R35" s="40"/>
      <c r="S35" s="63">
        <f>H45</f>
        <v>0</v>
      </c>
      <c r="T35" s="5"/>
      <c r="W35" s="96"/>
      <c r="Z35" s="96"/>
      <c r="AA35" s="41"/>
    </row>
    <row r="36" spans="2:27" ht="15.75" thickBot="1" x14ac:dyDescent="0.3">
      <c r="R36" s="42"/>
      <c r="S36" s="172"/>
      <c r="T36" s="172"/>
      <c r="W36" s="96"/>
      <c r="Z36" s="96"/>
      <c r="AA36" s="41"/>
    </row>
    <row r="37" spans="2:27" ht="15.75" thickBot="1" x14ac:dyDescent="0.3">
      <c r="B37" s="7"/>
      <c r="C37" s="8" t="s">
        <v>11</v>
      </c>
      <c r="G37" s="37"/>
      <c r="H37" s="38"/>
      <c r="I37" s="39"/>
      <c r="R37" s="42"/>
      <c r="S37" s="9"/>
      <c r="W37" s="96"/>
      <c r="Z37" s="97"/>
      <c r="AA37" s="41"/>
    </row>
    <row r="38" spans="2:27" ht="15.75" thickBot="1" x14ac:dyDescent="0.3">
      <c r="G38" s="40"/>
      <c r="H38" s="72" t="s">
        <v>62</v>
      </c>
      <c r="I38" s="41"/>
      <c r="R38" s="42"/>
      <c r="W38" s="96"/>
      <c r="X38" s="1" t="str">
        <f>"------------------"</f>
        <v>------------------</v>
      </c>
      <c r="Y38" s="63" t="str">
        <f>IF(W32="","",IF(W32&gt;W44,V32,V44))</f>
        <v/>
      </c>
      <c r="Z38" s="5"/>
      <c r="AA38" s="41"/>
    </row>
    <row r="39" spans="2:27" x14ac:dyDescent="0.25">
      <c r="G39" s="40"/>
      <c r="H39" s="57"/>
      <c r="I39" s="41"/>
      <c r="R39" s="42"/>
      <c r="W39" s="96"/>
      <c r="AA39" s="41"/>
    </row>
    <row r="40" spans="2:27" x14ac:dyDescent="0.25">
      <c r="G40" s="40"/>
      <c r="H40" s="12"/>
      <c r="I40" s="41"/>
      <c r="R40" s="42"/>
      <c r="W40" s="96"/>
      <c r="AA40" s="41"/>
    </row>
    <row r="41" spans="2:27" x14ac:dyDescent="0.25">
      <c r="G41" s="40"/>
      <c r="H41" s="110"/>
      <c r="I41" s="41"/>
      <c r="R41" s="42"/>
      <c r="S41" s="63">
        <f>H51</f>
        <v>0</v>
      </c>
      <c r="T41" s="5"/>
      <c r="W41" s="96"/>
      <c r="AA41" s="41"/>
    </row>
    <row r="42" spans="2:27" ht="15.75" thickBot="1" x14ac:dyDescent="0.3">
      <c r="G42" s="40"/>
      <c r="H42" s="111"/>
      <c r="I42" s="41"/>
      <c r="R42" s="42"/>
      <c r="S42" s="172"/>
      <c r="T42" s="192"/>
      <c r="W42" s="96"/>
      <c r="AA42" s="41"/>
    </row>
    <row r="43" spans="2:27" ht="15.75" thickBot="1" x14ac:dyDescent="0.3">
      <c r="G43" s="40"/>
      <c r="I43" s="41"/>
      <c r="R43" s="42"/>
      <c r="S43" s="9"/>
      <c r="T43" s="96"/>
      <c r="W43" s="97"/>
      <c r="AA43" s="41"/>
    </row>
    <row r="44" spans="2:27" ht="15.75" thickBot="1" x14ac:dyDescent="0.3">
      <c r="G44" s="40"/>
      <c r="H44" s="72" t="s">
        <v>63</v>
      </c>
      <c r="I44" s="41"/>
      <c r="R44" s="42"/>
      <c r="T44" s="96"/>
      <c r="U44" s="1" t="str">
        <f>"------------------"</f>
        <v>------------------</v>
      </c>
      <c r="V44" s="63" t="str">
        <f>IF(T41="","",IF(T41&gt;T47,S41,S47))</f>
        <v/>
      </c>
      <c r="W44" s="5"/>
      <c r="AA44" s="41"/>
    </row>
    <row r="45" spans="2:27" x14ac:dyDescent="0.25">
      <c r="G45" s="40"/>
      <c r="H45" s="57"/>
      <c r="I45" s="41"/>
      <c r="R45" s="42"/>
      <c r="T45" s="96"/>
      <c r="AA45" s="41"/>
    </row>
    <row r="46" spans="2:27" x14ac:dyDescent="0.25">
      <c r="G46" s="40"/>
      <c r="H46" s="12"/>
      <c r="I46" s="41"/>
      <c r="R46" s="42"/>
      <c r="T46" s="96"/>
      <c r="Y46" s="63" t="str">
        <f>IF(Y14="","",IF(Y14=V8,V20,V8))</f>
        <v/>
      </c>
      <c r="Z46" s="5"/>
      <c r="AA46" s="41"/>
    </row>
    <row r="47" spans="2:27" x14ac:dyDescent="0.25">
      <c r="G47" s="40"/>
      <c r="H47" s="110"/>
      <c r="I47" s="41"/>
      <c r="R47" s="42"/>
      <c r="S47" s="63">
        <f>H58</f>
        <v>0</v>
      </c>
      <c r="T47" s="5"/>
      <c r="AA47" s="41"/>
    </row>
    <row r="48" spans="2:27" ht="15.75" thickBot="1" x14ac:dyDescent="0.3">
      <c r="G48" s="40"/>
      <c r="H48" s="111"/>
      <c r="I48" s="41"/>
      <c r="R48" s="42"/>
      <c r="Y48" s="63" t="str">
        <f>IF(Y38="","",IF(Y38=V32,V44,V32))</f>
        <v/>
      </c>
      <c r="Z48" s="5"/>
      <c r="AA48" s="41"/>
    </row>
    <row r="49" spans="7:27" ht="15.75" thickBot="1" x14ac:dyDescent="0.3">
      <c r="G49" s="40"/>
      <c r="I49" s="41"/>
      <c r="R49" s="49"/>
      <c r="S49" s="45"/>
      <c r="T49" s="45"/>
      <c r="U49" s="45"/>
      <c r="V49" s="45"/>
      <c r="W49" s="45"/>
      <c r="X49" s="45"/>
      <c r="Y49" s="45"/>
      <c r="Z49" s="45"/>
      <c r="AA49" s="46"/>
    </row>
    <row r="50" spans="7:27" ht="15.75" thickBot="1" x14ac:dyDescent="0.3">
      <c r="G50" s="40"/>
      <c r="H50" s="72" t="s">
        <v>64</v>
      </c>
      <c r="I50" s="41"/>
    </row>
    <row r="51" spans="7:27" x14ac:dyDescent="0.25">
      <c r="G51" s="40"/>
      <c r="H51" s="57"/>
      <c r="I51" s="41"/>
    </row>
    <row r="52" spans="7:27" x14ac:dyDescent="0.25">
      <c r="G52" s="40"/>
      <c r="H52" s="12"/>
      <c r="I52" s="41"/>
    </row>
    <row r="53" spans="7:27" x14ac:dyDescent="0.25">
      <c r="G53" s="40"/>
      <c r="H53" s="110"/>
      <c r="I53" s="41"/>
    </row>
    <row r="54" spans="7:27" ht="15.75" thickBot="1" x14ac:dyDescent="0.3">
      <c r="G54" s="40"/>
      <c r="H54" s="111"/>
      <c r="I54" s="41"/>
    </row>
    <row r="55" spans="7:27" ht="15.75" thickBot="1" x14ac:dyDescent="0.3">
      <c r="G55" s="40"/>
      <c r="I55" s="41"/>
    </row>
    <row r="56" spans="7:27" ht="15.75" thickBot="1" x14ac:dyDescent="0.3">
      <c r="G56" s="40"/>
      <c r="H56" s="72" t="s">
        <v>65</v>
      </c>
      <c r="I56" s="41"/>
    </row>
    <row r="57" spans="7:27" x14ac:dyDescent="0.25">
      <c r="G57" s="40"/>
      <c r="H57" s="57"/>
      <c r="I57" s="41"/>
    </row>
    <row r="58" spans="7:27" x14ac:dyDescent="0.25">
      <c r="G58" s="40"/>
      <c r="H58" s="12"/>
      <c r="I58" s="41"/>
    </row>
    <row r="59" spans="7:27" x14ac:dyDescent="0.25">
      <c r="G59" s="40"/>
      <c r="H59" s="110"/>
      <c r="I59" s="41"/>
    </row>
    <row r="60" spans="7:27" ht="15.75" thickBot="1" x14ac:dyDescent="0.3">
      <c r="G60" s="40"/>
      <c r="H60" s="111"/>
      <c r="I60" s="41"/>
    </row>
    <row r="61" spans="7:27" ht="15.75" thickBot="1" x14ac:dyDescent="0.3">
      <c r="G61" s="49"/>
      <c r="H61" s="45"/>
      <c r="I61" s="46"/>
    </row>
  </sheetData>
  <protectedRanges>
    <protectedRange algorithmName="SHA-512" hashValue="DFEKZkfjwVaa91rcPUWznniPfdWvpWyZu9h/X6L9ECdOV+PpGmEH1EKuJa6LysfnP5hwlJ+wWn1ZKHji/qoMZA==" saltValue="/iI4DYz0TEGm/Cjtm+aeug==" spinCount="100000" sqref="C23 C26 C29" name="Saissable6"/>
    <protectedRange algorithmName="SHA-512" hashValue="DFEKZkfjwVaa91rcPUWznniPfdWvpWyZu9h/X6L9ECdOV+PpGmEH1EKuJa6LysfnP5hwlJ+wWn1ZKHji/qoMZA==" saltValue="/iI4DYz0TEGm/Cjtm+aeug==" spinCount="100000" sqref="G6:G8 L5:L10 N5:N10 G14:G16 L13:L18 N13:N18 G22:G24 L21:L26 N21:N26 G30:G32 L29:L34 N29:N34" name="Saissable6_1"/>
    <protectedRange algorithmName="SHA-512" hashValue="DFEKZkfjwVaa91rcPUWznniPfdWvpWyZu9h/X6L9ECdOV+PpGmEH1EKuJa6LysfnP5hwlJ+wWn1ZKHji/qoMZA==" saltValue="/iI4DYz0TEGm/Cjtm+aeug==" spinCount="100000" sqref="W31 W29" name="Saissable6_2"/>
    <protectedRange algorithmName="SHA-512" hashValue="DFEKZkfjwVaa91rcPUWznniPfdWvpWyZu9h/X6L9ECdOV+PpGmEH1EKuJa6LysfnP5hwlJ+wWn1ZKHji/qoMZA==" saltValue="/iI4DYz0TEGm/Cjtm+aeug==" spinCount="100000" sqref="T7 T13 T25 W10 W22 T19 T31 T37 T43" name="Saissable6_3"/>
  </protectedRanges>
  <mergeCells count="20">
    <mergeCell ref="M29:M34"/>
    <mergeCell ref="S30:T30"/>
    <mergeCell ref="S36:T36"/>
    <mergeCell ref="S42:T42"/>
    <mergeCell ref="M21:M26"/>
    <mergeCell ref="S24:T24"/>
    <mergeCell ref="K28:O28"/>
    <mergeCell ref="B2:D2"/>
    <mergeCell ref="F2:P2"/>
    <mergeCell ref="R2:AA2"/>
    <mergeCell ref="K4:O4"/>
    <mergeCell ref="M5:M10"/>
    <mergeCell ref="S6:T6"/>
    <mergeCell ref="V9:W9"/>
    <mergeCell ref="K12:O12"/>
    <mergeCell ref="S12:T12"/>
    <mergeCell ref="M13:M18"/>
    <mergeCell ref="S18:T18"/>
    <mergeCell ref="K20:O20"/>
    <mergeCell ref="V28:W28"/>
  </mergeCells>
  <pageMargins left="0.25" right="0.25" top="0.75" bottom="0.75" header="0.3" footer="0.3"/>
  <pageSetup paperSize="9" scale="3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6EA0-4D6C-4443-AC73-71ED99747C6E}">
  <sheetPr>
    <tabColor theme="9" tint="0.79998168889431442"/>
  </sheetPr>
  <dimension ref="A1:T33"/>
  <sheetViews>
    <sheetView workbookViewId="0">
      <selection activeCell="P14" sqref="P14"/>
    </sheetView>
  </sheetViews>
  <sheetFormatPr defaultColWidth="11.42578125" defaultRowHeight="15" x14ac:dyDescent="0.25"/>
  <cols>
    <col min="1" max="1" width="5.7109375" style="1" customWidth="1"/>
    <col min="2" max="2" width="27.140625" style="1" customWidth="1"/>
    <col min="3" max="3" width="9.5703125" style="1" bestFit="1" customWidth="1"/>
    <col min="4" max="4" width="8.28515625" style="1" bestFit="1" customWidth="1"/>
    <col min="5" max="5" width="5.7109375" style="1" customWidth="1"/>
    <col min="6" max="6" width="3.28515625" style="1" bestFit="1" customWidth="1"/>
    <col min="7" max="7" width="5.7109375" style="1" customWidth="1"/>
    <col min="8" max="8" width="7.7109375" style="11" customWidth="1"/>
    <col min="9" max="9" width="5.7109375" style="1" customWidth="1"/>
    <col min="10" max="10" width="3.28515625" style="9" bestFit="1" customWidth="1"/>
    <col min="11" max="11" width="5.7109375" style="1" customWidth="1"/>
    <col min="12" max="12" width="3.7109375" style="1" customWidth="1"/>
    <col min="13" max="13" width="23" style="1" customWidth="1"/>
    <col min="14" max="15" width="11.42578125" style="1"/>
    <col min="16" max="16" width="22.7109375" style="1" customWidth="1"/>
    <col min="17" max="16384" width="11.42578125" style="1"/>
  </cols>
  <sheetData>
    <row r="1" spans="1:20" ht="21.95" customHeight="1" thickBot="1" x14ac:dyDescent="0.3">
      <c r="A1" s="150" t="s">
        <v>40</v>
      </c>
      <c r="B1" s="151"/>
      <c r="C1" s="151"/>
      <c r="D1" s="151"/>
      <c r="E1" s="151"/>
      <c r="F1" s="151"/>
      <c r="G1" s="151"/>
      <c r="H1" s="151"/>
      <c r="I1" s="151"/>
      <c r="J1" s="151"/>
      <c r="K1" s="152"/>
      <c r="L1" s="150" t="s">
        <v>20</v>
      </c>
      <c r="M1" s="151"/>
      <c r="N1" s="151"/>
      <c r="O1" s="151"/>
      <c r="P1" s="151"/>
      <c r="Q1" s="151"/>
      <c r="R1" s="151"/>
      <c r="S1" s="151"/>
      <c r="T1" s="152"/>
    </row>
    <row r="2" spans="1:20" ht="21.95" customHeight="1" thickBot="1" x14ac:dyDescent="0.3">
      <c r="A2" s="37"/>
      <c r="B2" s="38"/>
      <c r="C2" s="38"/>
      <c r="D2" s="38"/>
      <c r="E2" s="38"/>
      <c r="F2" s="38"/>
      <c r="G2" s="38"/>
      <c r="H2" s="60"/>
      <c r="I2" s="38"/>
      <c r="J2" s="85"/>
      <c r="K2" s="38"/>
      <c r="L2" s="59"/>
      <c r="M2" s="38"/>
      <c r="N2" s="38"/>
      <c r="O2" s="38"/>
      <c r="P2" s="38"/>
      <c r="Q2" s="38"/>
      <c r="R2" s="38"/>
      <c r="S2" s="38"/>
      <c r="T2" s="39"/>
    </row>
    <row r="3" spans="1:20" ht="21.95" customHeight="1" thickBot="1" x14ac:dyDescent="0.3">
      <c r="A3" s="40"/>
      <c r="F3" s="187" t="s">
        <v>4</v>
      </c>
      <c r="G3" s="188"/>
      <c r="H3" s="188"/>
      <c r="I3" s="188"/>
      <c r="J3" s="189"/>
      <c r="L3" s="42"/>
      <c r="M3" s="172" t="s">
        <v>16</v>
      </c>
      <c r="N3" s="172"/>
      <c r="T3" s="41"/>
    </row>
    <row r="4" spans="1:20" ht="21.95" customHeight="1" thickBot="1" x14ac:dyDescent="0.3">
      <c r="A4" s="40"/>
      <c r="B4" s="33" t="s">
        <v>1</v>
      </c>
      <c r="C4" s="58" t="s">
        <v>3</v>
      </c>
      <c r="D4" s="31" t="s">
        <v>7</v>
      </c>
      <c r="F4" s="16" t="str">
        <f>B5</f>
        <v>A1</v>
      </c>
      <c r="G4" s="117"/>
      <c r="H4" s="195" t="s">
        <v>5</v>
      </c>
      <c r="I4" s="117"/>
      <c r="J4" s="17" t="str">
        <f>B6</f>
        <v>A2</v>
      </c>
      <c r="L4" s="42"/>
      <c r="M4" s="11" t="s">
        <v>0</v>
      </c>
      <c r="N4" s="11" t="s">
        <v>3</v>
      </c>
      <c r="T4" s="41"/>
    </row>
    <row r="5" spans="1:20" ht="21.95" customHeight="1" x14ac:dyDescent="0.25">
      <c r="A5" s="40"/>
      <c r="B5" s="114" t="s">
        <v>87</v>
      </c>
      <c r="C5" s="16"/>
      <c r="D5" s="17"/>
      <c r="F5" s="51" t="str">
        <f>B7</f>
        <v>A3</v>
      </c>
      <c r="G5" s="118"/>
      <c r="H5" s="196"/>
      <c r="I5" s="118"/>
      <c r="J5" s="18" t="str">
        <f>B8</f>
        <v>A4</v>
      </c>
      <c r="L5" s="42"/>
      <c r="M5" s="34"/>
      <c r="N5" s="118"/>
      <c r="P5" s="154" t="s">
        <v>17</v>
      </c>
      <c r="Q5" s="154"/>
      <c r="T5" s="41"/>
    </row>
    <row r="6" spans="1:20" ht="21.95" customHeight="1" x14ac:dyDescent="0.25">
      <c r="A6" s="40"/>
      <c r="B6" s="115" t="s">
        <v>88</v>
      </c>
      <c r="C6" s="51"/>
      <c r="D6" s="18"/>
      <c r="F6" s="51" t="str">
        <f>B5</f>
        <v>A1</v>
      </c>
      <c r="G6" s="118"/>
      <c r="H6" s="196"/>
      <c r="I6" s="118"/>
      <c r="J6" s="18" t="str">
        <f>B7</f>
        <v>A3</v>
      </c>
      <c r="L6" s="42"/>
      <c r="M6" s="185"/>
      <c r="N6" s="186"/>
      <c r="O6" s="35" t="str">
        <f>"------------------"</f>
        <v>------------------</v>
      </c>
      <c r="P6" s="34" t="str">
        <f>IF(N5="","",IF(N5&gt;N7,M5,M7))</f>
        <v/>
      </c>
      <c r="Q6" s="118"/>
      <c r="T6" s="41"/>
    </row>
    <row r="7" spans="1:20" ht="21.95" customHeight="1" x14ac:dyDescent="0.25">
      <c r="A7" s="40"/>
      <c r="B7" s="115" t="s">
        <v>89</v>
      </c>
      <c r="C7" s="51"/>
      <c r="D7" s="18"/>
      <c r="F7" s="51" t="str">
        <f>B6</f>
        <v>A2</v>
      </c>
      <c r="G7" s="118"/>
      <c r="H7" s="196"/>
      <c r="I7" s="118"/>
      <c r="J7" s="18" t="str">
        <f>B8</f>
        <v>A4</v>
      </c>
      <c r="L7" s="42"/>
      <c r="M7" s="34"/>
      <c r="N7" s="118"/>
      <c r="R7" s="35"/>
      <c r="S7" s="11"/>
      <c r="T7" s="41"/>
    </row>
    <row r="8" spans="1:20" ht="21.95" customHeight="1" thickBot="1" x14ac:dyDescent="0.3">
      <c r="A8" s="40"/>
      <c r="B8" s="116" t="s">
        <v>90</v>
      </c>
      <c r="C8" s="52"/>
      <c r="D8" s="19"/>
      <c r="F8" s="51" t="str">
        <f>B5</f>
        <v>A1</v>
      </c>
      <c r="G8" s="118"/>
      <c r="H8" s="196"/>
      <c r="I8" s="118"/>
      <c r="J8" s="18" t="str">
        <f>B8</f>
        <v>A4</v>
      </c>
      <c r="L8" s="42"/>
      <c r="R8" s="35"/>
      <c r="S8" s="56" t="s">
        <v>13</v>
      </c>
      <c r="T8" s="41"/>
    </row>
    <row r="9" spans="1:20" ht="21.95" customHeight="1" thickBot="1" x14ac:dyDescent="0.3">
      <c r="A9" s="40"/>
      <c r="F9" s="52" t="str">
        <f>B6</f>
        <v>A2</v>
      </c>
      <c r="G9" s="119"/>
      <c r="H9" s="197"/>
      <c r="I9" s="119"/>
      <c r="J9" s="19" t="str">
        <f>B7</f>
        <v>A3</v>
      </c>
      <c r="L9" s="42"/>
      <c r="P9" s="190"/>
      <c r="Q9" s="172"/>
      <c r="R9" s="104" t="str">
        <f>"------------------"</f>
        <v>------------------</v>
      </c>
      <c r="S9" s="34" t="str">
        <f>IF(Q6="","",IF(Q6&gt;Q12,P6,P12))</f>
        <v/>
      </c>
      <c r="T9" s="41"/>
    </row>
    <row r="10" spans="1:20" ht="21.95" customHeight="1" thickBot="1" x14ac:dyDescent="0.3">
      <c r="A10" s="40"/>
      <c r="H10" s="1"/>
      <c r="J10" s="1"/>
      <c r="L10" s="42"/>
      <c r="R10" s="35"/>
      <c r="T10" s="41"/>
    </row>
    <row r="11" spans="1:20" ht="21.95" customHeight="1" thickBot="1" x14ac:dyDescent="0.3">
      <c r="A11" s="40"/>
      <c r="F11" s="182" t="s">
        <v>6</v>
      </c>
      <c r="G11" s="183"/>
      <c r="H11" s="183"/>
      <c r="I11" s="183"/>
      <c r="J11" s="184"/>
      <c r="L11" s="42"/>
      <c r="M11" s="34"/>
      <c r="N11" s="118"/>
      <c r="P11" s="172"/>
      <c r="Q11" s="172"/>
      <c r="R11" s="35"/>
      <c r="T11" s="41"/>
    </row>
    <row r="12" spans="1:20" ht="21.95" customHeight="1" thickBot="1" x14ac:dyDescent="0.3">
      <c r="A12" s="40"/>
      <c r="B12" s="33" t="s">
        <v>2</v>
      </c>
      <c r="C12" s="58" t="s">
        <v>3</v>
      </c>
      <c r="D12" s="31" t="s">
        <v>7</v>
      </c>
      <c r="F12" s="16" t="str">
        <f>B13</f>
        <v>B1</v>
      </c>
      <c r="G12" s="117"/>
      <c r="H12" s="195" t="s">
        <v>5</v>
      </c>
      <c r="I12" s="117"/>
      <c r="J12" s="17" t="str">
        <f>B14</f>
        <v>B2</v>
      </c>
      <c r="L12" s="42"/>
      <c r="M12" s="185"/>
      <c r="N12" s="186"/>
      <c r="O12" s="35" t="str">
        <f>"------------------"</f>
        <v>------------------</v>
      </c>
      <c r="P12" s="34" t="str">
        <f>IF(N11="","",IF(N11&gt;N13,M11,M13))</f>
        <v/>
      </c>
      <c r="Q12" s="118"/>
      <c r="T12" s="41"/>
    </row>
    <row r="13" spans="1:20" ht="21.95" customHeight="1" x14ac:dyDescent="0.25">
      <c r="A13" s="40"/>
      <c r="B13" s="114" t="s">
        <v>91</v>
      </c>
      <c r="C13" s="16"/>
      <c r="D13" s="17"/>
      <c r="F13" s="51" t="str">
        <f>B15</f>
        <v>B3</v>
      </c>
      <c r="G13" s="118"/>
      <c r="H13" s="196"/>
      <c r="I13" s="118"/>
      <c r="J13" s="18" t="str">
        <f>B16</f>
        <v>B4</v>
      </c>
      <c r="L13" s="42"/>
      <c r="M13" s="34"/>
      <c r="N13" s="118"/>
      <c r="T13" s="41"/>
    </row>
    <row r="14" spans="1:20" ht="21.95" customHeight="1" x14ac:dyDescent="0.25">
      <c r="A14" s="40"/>
      <c r="B14" s="115" t="s">
        <v>92</v>
      </c>
      <c r="C14" s="51"/>
      <c r="D14" s="18"/>
      <c r="F14" s="51" t="str">
        <f>B13</f>
        <v>B1</v>
      </c>
      <c r="G14" s="118"/>
      <c r="H14" s="196"/>
      <c r="I14" s="118"/>
      <c r="J14" s="18" t="str">
        <f>B15</f>
        <v>B3</v>
      </c>
      <c r="L14" s="42"/>
      <c r="T14" s="41"/>
    </row>
    <row r="15" spans="1:20" ht="21.95" customHeight="1" x14ac:dyDescent="0.25">
      <c r="A15" s="40"/>
      <c r="B15" s="115" t="s">
        <v>93</v>
      </c>
      <c r="C15" s="51"/>
      <c r="D15" s="18"/>
      <c r="F15" s="51" t="str">
        <f>B14</f>
        <v>B2</v>
      </c>
      <c r="G15" s="118"/>
      <c r="H15" s="196"/>
      <c r="I15" s="118"/>
      <c r="J15" s="18" t="str">
        <f>B16</f>
        <v>B4</v>
      </c>
      <c r="L15" s="42"/>
      <c r="S15" s="113"/>
      <c r="T15" s="41"/>
    </row>
    <row r="16" spans="1:20" ht="21.95" customHeight="1" thickBot="1" x14ac:dyDescent="0.3">
      <c r="A16" s="40"/>
      <c r="B16" s="116" t="s">
        <v>94</v>
      </c>
      <c r="C16" s="52"/>
      <c r="D16" s="19"/>
      <c r="F16" s="51" t="str">
        <f>B13</f>
        <v>B1</v>
      </c>
      <c r="G16" s="118"/>
      <c r="H16" s="196"/>
      <c r="I16" s="118"/>
      <c r="J16" s="18" t="str">
        <f>B16</f>
        <v>B4</v>
      </c>
      <c r="L16" s="42"/>
      <c r="T16" s="41"/>
    </row>
    <row r="17" spans="1:20" ht="21.95" customHeight="1" thickBot="1" x14ac:dyDescent="0.3">
      <c r="A17" s="40"/>
      <c r="F17" s="52" t="str">
        <f>B14</f>
        <v>B2</v>
      </c>
      <c r="G17" s="119"/>
      <c r="H17" s="197"/>
      <c r="I17" s="119"/>
      <c r="J17" s="19" t="str">
        <f>B15</f>
        <v>B3</v>
      </c>
      <c r="L17" s="42"/>
      <c r="M17" s="34"/>
      <c r="N17" s="118"/>
      <c r="P17" s="56"/>
      <c r="Q17" s="56"/>
      <c r="T17" s="41"/>
    </row>
    <row r="18" spans="1:20" ht="21.95" customHeight="1" thickBot="1" x14ac:dyDescent="0.3">
      <c r="A18" s="40"/>
      <c r="H18" s="1"/>
      <c r="J18" s="1"/>
      <c r="L18" s="42"/>
      <c r="M18" s="185"/>
      <c r="N18" s="186"/>
      <c r="O18" s="35" t="str">
        <f>"------------------"</f>
        <v>------------------</v>
      </c>
      <c r="P18" s="34" t="str">
        <f>IF(N17="","",IF(N17&gt;N19,M17,M19))</f>
        <v/>
      </c>
      <c r="Q18" s="118"/>
      <c r="T18" s="41"/>
    </row>
    <row r="19" spans="1:20" ht="21.95" customHeight="1" thickBot="1" x14ac:dyDescent="0.3">
      <c r="A19" s="40"/>
      <c r="F19" s="182" t="s">
        <v>23</v>
      </c>
      <c r="G19" s="183"/>
      <c r="H19" s="183"/>
      <c r="I19" s="183"/>
      <c r="J19" s="184"/>
      <c r="L19" s="42"/>
      <c r="M19" s="34"/>
      <c r="N19" s="118"/>
      <c r="R19" s="35"/>
      <c r="T19" s="41"/>
    </row>
    <row r="20" spans="1:20" ht="21.95" customHeight="1" thickBot="1" x14ac:dyDescent="0.3">
      <c r="A20" s="40"/>
      <c r="B20" s="33" t="s">
        <v>25</v>
      </c>
      <c r="C20" s="58" t="s">
        <v>3</v>
      </c>
      <c r="D20" s="31" t="s">
        <v>7</v>
      </c>
      <c r="F20" s="16" t="str">
        <f>B21</f>
        <v>C1</v>
      </c>
      <c r="G20" s="117"/>
      <c r="H20" s="195" t="s">
        <v>5</v>
      </c>
      <c r="I20" s="117"/>
      <c r="J20" s="17" t="str">
        <f>B22</f>
        <v>C2</v>
      </c>
      <c r="L20" s="42"/>
      <c r="R20" s="35"/>
      <c r="T20" s="41"/>
    </row>
    <row r="21" spans="1:20" ht="21.95" customHeight="1" x14ac:dyDescent="0.25">
      <c r="A21" s="40"/>
      <c r="B21" s="114" t="s">
        <v>95</v>
      </c>
      <c r="C21" s="16"/>
      <c r="D21" s="17"/>
      <c r="F21" s="51" t="str">
        <f>B23</f>
        <v>C3</v>
      </c>
      <c r="G21" s="118"/>
      <c r="H21" s="196"/>
      <c r="I21" s="118"/>
      <c r="J21" s="18" t="str">
        <f>B24</f>
        <v>C4</v>
      </c>
      <c r="L21" s="42"/>
      <c r="P21" s="190"/>
      <c r="Q21" s="172"/>
      <c r="R21" s="104" t="str">
        <f>"------------------"</f>
        <v>------------------</v>
      </c>
      <c r="S21" s="34" t="str">
        <f>IF(Q18="","",IF(Q18&gt;Q24,P18,P24))</f>
        <v/>
      </c>
      <c r="T21" s="41"/>
    </row>
    <row r="22" spans="1:20" ht="21.95" customHeight="1" x14ac:dyDescent="0.25">
      <c r="A22" s="40"/>
      <c r="B22" s="115" t="s">
        <v>96</v>
      </c>
      <c r="C22" s="51"/>
      <c r="D22" s="18"/>
      <c r="F22" s="51" t="str">
        <f>B21</f>
        <v>C1</v>
      </c>
      <c r="G22" s="118"/>
      <c r="H22" s="196"/>
      <c r="I22" s="118"/>
      <c r="J22" s="18" t="str">
        <f>B23</f>
        <v>C3</v>
      </c>
      <c r="L22" s="42"/>
      <c r="R22" s="35"/>
      <c r="T22" s="41"/>
    </row>
    <row r="23" spans="1:20" ht="21.95" customHeight="1" x14ac:dyDescent="0.25">
      <c r="A23" s="40"/>
      <c r="B23" s="115" t="s">
        <v>97</v>
      </c>
      <c r="C23" s="51"/>
      <c r="D23" s="18"/>
      <c r="F23" s="51" t="str">
        <f>B22</f>
        <v>C2</v>
      </c>
      <c r="G23" s="118"/>
      <c r="H23" s="196"/>
      <c r="I23" s="118"/>
      <c r="J23" s="18" t="str">
        <f>B24</f>
        <v>C4</v>
      </c>
      <c r="L23" s="42"/>
      <c r="M23" s="34"/>
      <c r="N23" s="118"/>
      <c r="P23" s="56"/>
      <c r="Q23" s="56"/>
      <c r="R23" s="35"/>
      <c r="T23" s="41"/>
    </row>
    <row r="24" spans="1:20" ht="21.95" customHeight="1" thickBot="1" x14ac:dyDescent="0.3">
      <c r="A24" s="40"/>
      <c r="B24" s="116" t="s">
        <v>98</v>
      </c>
      <c r="C24" s="52"/>
      <c r="D24" s="19"/>
      <c r="F24" s="51" t="str">
        <f>B21</f>
        <v>C1</v>
      </c>
      <c r="G24" s="118"/>
      <c r="H24" s="196"/>
      <c r="I24" s="118"/>
      <c r="J24" s="18" t="str">
        <f>B24</f>
        <v>C4</v>
      </c>
      <c r="L24" s="42"/>
      <c r="M24" s="185"/>
      <c r="N24" s="186"/>
      <c r="O24" s="35" t="str">
        <f>"------------------"</f>
        <v>------------------</v>
      </c>
      <c r="P24" s="34" t="str">
        <f>IF(N23="","",IF(N23&gt;N25,M23,M25))</f>
        <v/>
      </c>
      <c r="Q24" s="118"/>
      <c r="T24" s="41"/>
    </row>
    <row r="25" spans="1:20" ht="21.95" customHeight="1" thickBot="1" x14ac:dyDescent="0.3">
      <c r="A25" s="40"/>
      <c r="F25" s="52" t="str">
        <f>B22</f>
        <v>C2</v>
      </c>
      <c r="G25" s="119"/>
      <c r="H25" s="197"/>
      <c r="I25" s="119"/>
      <c r="J25" s="19" t="str">
        <f>B23</f>
        <v>C3</v>
      </c>
      <c r="L25" s="42"/>
      <c r="M25" s="34"/>
      <c r="N25" s="118"/>
      <c r="T25" s="41"/>
    </row>
    <row r="26" spans="1:20" ht="21.95" customHeight="1" thickBot="1" x14ac:dyDescent="0.3">
      <c r="A26" s="49"/>
      <c r="B26" s="45"/>
      <c r="C26" s="45"/>
      <c r="D26" s="45"/>
      <c r="E26" s="45"/>
      <c r="F26" s="45"/>
      <c r="G26" s="45"/>
      <c r="H26" s="75"/>
      <c r="I26" s="45"/>
      <c r="J26" s="86"/>
      <c r="K26" s="45"/>
      <c r="L26" s="42"/>
      <c r="T26" s="41"/>
    </row>
    <row r="27" spans="1:20" ht="21.95" customHeight="1" x14ac:dyDescent="0.25">
      <c r="L27" s="42"/>
      <c r="S27" s="56" t="s">
        <v>15</v>
      </c>
      <c r="T27" s="41"/>
    </row>
    <row r="28" spans="1:20" ht="21.95" customHeight="1" x14ac:dyDescent="0.25">
      <c r="L28" s="42"/>
      <c r="S28" s="34" t="str">
        <f>IF(Q6="","",IF(S9=P6,P12,P6))</f>
        <v/>
      </c>
      <c r="T28" s="41"/>
    </row>
    <row r="29" spans="1:20" ht="21.95" customHeight="1" x14ac:dyDescent="0.25">
      <c r="L29" s="42"/>
      <c r="S29" s="9"/>
      <c r="T29" s="41"/>
    </row>
    <row r="30" spans="1:20" ht="21.95" customHeight="1" x14ac:dyDescent="0.25">
      <c r="L30" s="42"/>
      <c r="S30" s="34" t="str">
        <f>IF(S21="","",IF(S21=P18,P24,P18))</f>
        <v/>
      </c>
      <c r="T30" s="41"/>
    </row>
    <row r="31" spans="1:20" ht="21.95" customHeight="1" x14ac:dyDescent="0.25">
      <c r="L31" s="42"/>
      <c r="T31" s="41"/>
    </row>
    <row r="32" spans="1:20" ht="21.95" customHeight="1" thickBot="1" x14ac:dyDescent="0.3">
      <c r="L32" s="44"/>
      <c r="M32" s="45"/>
      <c r="N32" s="45"/>
      <c r="O32" s="45"/>
      <c r="P32" s="45"/>
      <c r="Q32" s="45"/>
      <c r="R32" s="45"/>
      <c r="S32" s="45"/>
      <c r="T32" s="46"/>
    </row>
    <row r="33" ht="21.95" customHeight="1" x14ac:dyDescent="0.25"/>
  </sheetData>
  <protectedRanges>
    <protectedRange algorithmName="SHA-512" hashValue="DFEKZkfjwVaa91rcPUWznniPfdWvpWyZu9h/X6L9ECdOV+PpGmEH1EKuJa6LysfnP5hwlJ+wWn1ZKHji/qoMZA==" saltValue="/iI4DYz0TEGm/Cjtm+aeug==" spinCount="100000" sqref="B10" name="Saissable6_1"/>
    <protectedRange algorithmName="SHA-512" hashValue="DFEKZkfjwVaa91rcPUWznniPfdWvpWyZu9h/X6L9ECdOV+PpGmEH1EKuJa6LysfnP5hwlJ+wWn1ZKHji/qoMZA==" saltValue="/iI4DYz0TEGm/Cjtm+aeug==" spinCount="100000" sqref="B5:B7 G4:G9 I4:I9" name="Saissable6_1_2"/>
    <protectedRange algorithmName="SHA-512" hashValue="DFEKZkfjwVaa91rcPUWznniPfdWvpWyZu9h/X6L9ECdOV+PpGmEH1EKuJa6LysfnP5hwlJ+wWn1ZKHji/qoMZA==" saltValue="/iI4DYz0TEGm/Cjtm+aeug==" spinCount="100000" sqref="B13:B15 G12:G17 I12:I17" name="Saissable6_1_4"/>
    <protectedRange algorithmName="SHA-512" hashValue="DFEKZkfjwVaa91rcPUWznniPfdWvpWyZu9h/X6L9ECdOV+PpGmEH1EKuJa6LysfnP5hwlJ+wWn1ZKHji/qoMZA==" saltValue="/iI4DYz0TEGm/Cjtm+aeug==" spinCount="100000" sqref="B21:B23 G20:G25 I20:I25" name="Saissable6_1_5"/>
    <protectedRange algorithmName="SHA-512" hashValue="DFEKZkfjwVaa91rcPUWznniPfdWvpWyZu9h/X6L9ECdOV+PpGmEH1EKuJa6LysfnP5hwlJ+wWn1ZKHji/qoMZA==" saltValue="/iI4DYz0TEGm/Cjtm+aeug==" spinCount="100000" sqref="N5 N7 N11 N13 N17 N19 N23 N25" name="Saissable6_2"/>
    <protectedRange algorithmName="SHA-512" hashValue="DFEKZkfjwVaa91rcPUWznniPfdWvpWyZu9h/X6L9ECdOV+PpGmEH1EKuJa6LysfnP5hwlJ+wWn1ZKHji/qoMZA==" saltValue="/iI4DYz0TEGm/Cjtm+aeug==" spinCount="100000" sqref="Q6 Q12 Q18 Q24" name="Saissable6_3_1"/>
  </protectedRanges>
  <mergeCells count="17">
    <mergeCell ref="L1:T1"/>
    <mergeCell ref="M12:N12"/>
    <mergeCell ref="M18:N18"/>
    <mergeCell ref="F19:J19"/>
    <mergeCell ref="P21:Q21"/>
    <mergeCell ref="M6:N6"/>
    <mergeCell ref="P9:Q9"/>
    <mergeCell ref="F11:J11"/>
    <mergeCell ref="P11:Q11"/>
    <mergeCell ref="A1:K1"/>
    <mergeCell ref="F3:J3"/>
    <mergeCell ref="M3:N3"/>
    <mergeCell ref="P5:Q5"/>
    <mergeCell ref="H20:H25"/>
    <mergeCell ref="H12:H17"/>
    <mergeCell ref="H4:H9"/>
    <mergeCell ref="M24:N24"/>
  </mergeCells>
  <pageMargins left="0.23622047244094491" right="0.23622047244094491" top="0.74803149606299213" bottom="0.74803149606299213" header="0.31496062992125984" footer="0.31496062992125984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6A4E-CCC2-4170-BA1E-303024929AF5}">
  <sheetPr>
    <tabColor theme="4" tint="0.79998168889431442"/>
  </sheetPr>
  <dimension ref="A1:V49"/>
  <sheetViews>
    <sheetView zoomScale="55" zoomScaleNormal="55" workbookViewId="0">
      <selection activeCell="Z21" sqref="Z21"/>
    </sheetView>
  </sheetViews>
  <sheetFormatPr defaultColWidth="11.42578125" defaultRowHeight="15" x14ac:dyDescent="0.25"/>
  <cols>
    <col min="1" max="1" width="5.7109375" style="1" customWidth="1"/>
    <col min="2" max="2" width="24.42578125" style="1" customWidth="1"/>
    <col min="3" max="3" width="13.140625" style="1" bestFit="1" customWidth="1"/>
    <col min="4" max="4" width="11.42578125" style="1"/>
    <col min="5" max="5" width="5.7109375" style="1" customWidth="1"/>
    <col min="6" max="6" width="3.28515625" style="1" bestFit="1" customWidth="1"/>
    <col min="7" max="9" width="11.42578125" style="1"/>
    <col min="10" max="10" width="3.28515625" style="1" bestFit="1" customWidth="1"/>
    <col min="11" max="11" width="5.7109375" style="1" customWidth="1"/>
    <col min="12" max="12" width="3.7109375" style="1" customWidth="1"/>
    <col min="13" max="13" width="5.7109375" style="1" customWidth="1"/>
    <col min="14" max="14" width="22.85546875" style="1" customWidth="1"/>
    <col min="15" max="16" width="11.42578125" style="1"/>
    <col min="17" max="17" width="22.85546875" style="1" customWidth="1"/>
    <col min="18" max="19" width="11.42578125" style="1"/>
    <col min="20" max="20" width="22.7109375" style="1" customWidth="1"/>
    <col min="21" max="16384" width="11.42578125" style="1"/>
  </cols>
  <sheetData>
    <row r="1" spans="1:22" ht="18.95" customHeight="1" thickBot="1" x14ac:dyDescent="0.3">
      <c r="A1" s="150" t="s">
        <v>19</v>
      </c>
      <c r="B1" s="151"/>
      <c r="C1" s="151"/>
      <c r="D1" s="151"/>
      <c r="E1" s="151"/>
      <c r="F1" s="151"/>
      <c r="G1" s="151"/>
      <c r="H1" s="151"/>
      <c r="I1" s="151"/>
      <c r="J1" s="151"/>
      <c r="K1" s="152"/>
      <c r="M1" s="150" t="s">
        <v>27</v>
      </c>
      <c r="N1" s="151"/>
      <c r="O1" s="151"/>
      <c r="P1" s="151"/>
      <c r="Q1" s="151"/>
      <c r="R1" s="151"/>
      <c r="S1" s="151"/>
      <c r="T1" s="151"/>
      <c r="U1" s="151"/>
      <c r="V1" s="152"/>
    </row>
    <row r="2" spans="1:22" ht="18.95" customHeight="1" thickBo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47"/>
      <c r="M2" s="42"/>
      <c r="V2" s="41"/>
    </row>
    <row r="3" spans="1:22" ht="18.95" customHeight="1" thickBot="1" x14ac:dyDescent="0.3">
      <c r="A3" s="40"/>
      <c r="F3" s="160" t="s">
        <v>4</v>
      </c>
      <c r="G3" s="161"/>
      <c r="H3" s="161"/>
      <c r="I3" s="161"/>
      <c r="J3" s="162"/>
      <c r="K3" s="41"/>
      <c r="M3" s="42"/>
      <c r="V3" s="41"/>
    </row>
    <row r="4" spans="1:22" ht="18.95" customHeight="1" thickBot="1" x14ac:dyDescent="0.3">
      <c r="A4" s="40"/>
      <c r="B4" s="33" t="s">
        <v>1</v>
      </c>
      <c r="C4" s="58" t="s">
        <v>3</v>
      </c>
      <c r="D4" s="31" t="s">
        <v>7</v>
      </c>
      <c r="F4" s="53" t="str">
        <f>B5</f>
        <v>A1</v>
      </c>
      <c r="G4" s="120"/>
      <c r="H4" s="179" t="s">
        <v>5</v>
      </c>
      <c r="I4" s="120"/>
      <c r="J4" s="29" t="str">
        <f>B6</f>
        <v>A2</v>
      </c>
      <c r="K4" s="41"/>
      <c r="M4" s="42"/>
      <c r="N4" s="63" t="s">
        <v>66</v>
      </c>
      <c r="O4" s="118"/>
      <c r="V4" s="41"/>
    </row>
    <row r="5" spans="1:22" ht="18.95" customHeight="1" x14ac:dyDescent="0.25">
      <c r="A5" s="40"/>
      <c r="B5" s="114" t="s">
        <v>87</v>
      </c>
      <c r="C5" s="16"/>
      <c r="D5" s="17"/>
      <c r="F5" s="51" t="str">
        <f>B7</f>
        <v>A3</v>
      </c>
      <c r="G5" s="118"/>
      <c r="H5" s="180"/>
      <c r="I5" s="118"/>
      <c r="J5" s="18" t="str">
        <f>B8</f>
        <v>A4</v>
      </c>
      <c r="K5" s="41"/>
      <c r="M5" s="42"/>
      <c r="N5" s="172"/>
      <c r="O5" s="192"/>
      <c r="V5" s="41"/>
    </row>
    <row r="6" spans="1:22" ht="18.95" customHeight="1" x14ac:dyDescent="0.25">
      <c r="A6" s="40"/>
      <c r="B6" s="115" t="s">
        <v>88</v>
      </c>
      <c r="C6" s="51"/>
      <c r="D6" s="18"/>
      <c r="F6" s="51" t="str">
        <f>B5</f>
        <v>A1</v>
      </c>
      <c r="G6" s="118"/>
      <c r="H6" s="180"/>
      <c r="I6" s="118"/>
      <c r="J6" s="18" t="str">
        <f>B7</f>
        <v>A3</v>
      </c>
      <c r="K6" s="41"/>
      <c r="M6" s="42"/>
      <c r="N6" s="9"/>
      <c r="O6" s="96"/>
      <c r="V6" s="41"/>
    </row>
    <row r="7" spans="1:22" ht="18.95" customHeight="1" x14ac:dyDescent="0.25">
      <c r="A7" s="40"/>
      <c r="B7" s="115" t="s">
        <v>89</v>
      </c>
      <c r="C7" s="51"/>
      <c r="D7" s="18"/>
      <c r="F7" s="51" t="str">
        <f>B6</f>
        <v>A2</v>
      </c>
      <c r="G7" s="118"/>
      <c r="H7" s="180"/>
      <c r="I7" s="118"/>
      <c r="J7" s="18" t="str">
        <f>B8</f>
        <v>A4</v>
      </c>
      <c r="K7" s="41"/>
      <c r="M7" s="42"/>
      <c r="O7" s="96"/>
      <c r="P7" s="1" t="str">
        <f>"------------------"</f>
        <v>------------------</v>
      </c>
      <c r="Q7" s="63" t="str">
        <f>IF(O4="","",IF(O4&gt;O10,N4,N10))</f>
        <v/>
      </c>
      <c r="R7" s="118"/>
      <c r="V7" s="41"/>
    </row>
    <row r="8" spans="1:22" ht="18.95" customHeight="1" thickBot="1" x14ac:dyDescent="0.3">
      <c r="A8" s="40"/>
      <c r="B8" s="116" t="s">
        <v>90</v>
      </c>
      <c r="C8" s="52"/>
      <c r="D8" s="19"/>
      <c r="F8" s="51" t="str">
        <f>B5</f>
        <v>A1</v>
      </c>
      <c r="G8" s="118"/>
      <c r="H8" s="180"/>
      <c r="I8" s="118"/>
      <c r="J8" s="18" t="str">
        <f>B8</f>
        <v>A4</v>
      </c>
      <c r="K8" s="41"/>
      <c r="M8" s="42"/>
      <c r="O8" s="96"/>
      <c r="Q8" s="193"/>
      <c r="R8" s="193"/>
      <c r="S8" s="95"/>
      <c r="V8" s="41"/>
    </row>
    <row r="9" spans="1:22" ht="18.95" customHeight="1" thickBot="1" x14ac:dyDescent="0.3">
      <c r="A9" s="40"/>
      <c r="F9" s="52" t="str">
        <f>B6</f>
        <v>A2</v>
      </c>
      <c r="G9" s="119"/>
      <c r="H9" s="181"/>
      <c r="I9" s="119"/>
      <c r="J9" s="19" t="str">
        <f>B7</f>
        <v>A3</v>
      </c>
      <c r="K9" s="41"/>
      <c r="M9" s="42"/>
      <c r="O9" s="96"/>
      <c r="Q9" s="9"/>
      <c r="S9" s="95"/>
      <c r="V9" s="41"/>
    </row>
    <row r="10" spans="1:22" ht="18.95" customHeight="1" thickBot="1" x14ac:dyDescent="0.3">
      <c r="A10" s="40"/>
      <c r="K10" s="48"/>
      <c r="M10" s="42"/>
      <c r="N10" s="63" t="s">
        <v>76</v>
      </c>
      <c r="O10" s="118"/>
      <c r="R10" s="96"/>
      <c r="V10" s="41"/>
    </row>
    <row r="11" spans="1:22" ht="18.95" customHeight="1" thickBot="1" x14ac:dyDescent="0.3">
      <c r="A11" s="40"/>
      <c r="F11" s="160" t="s">
        <v>6</v>
      </c>
      <c r="G11" s="161"/>
      <c r="H11" s="161"/>
      <c r="I11" s="161"/>
      <c r="J11" s="162"/>
      <c r="K11" s="41"/>
      <c r="M11" s="42"/>
      <c r="N11" s="172"/>
      <c r="O11" s="172"/>
      <c r="R11" s="96"/>
      <c r="V11" s="41"/>
    </row>
    <row r="12" spans="1:22" ht="18.95" customHeight="1" thickBot="1" x14ac:dyDescent="0.3">
      <c r="A12" s="40"/>
      <c r="B12" s="33" t="s">
        <v>2</v>
      </c>
      <c r="C12" s="58" t="s">
        <v>3</v>
      </c>
      <c r="D12" s="31" t="s">
        <v>7</v>
      </c>
      <c r="F12" s="53" t="str">
        <f>B13</f>
        <v>B1</v>
      </c>
      <c r="G12" s="120"/>
      <c r="H12" s="179" t="s">
        <v>5</v>
      </c>
      <c r="I12" s="120"/>
      <c r="J12" s="29" t="str">
        <f>B14</f>
        <v>B2</v>
      </c>
      <c r="K12" s="41"/>
      <c r="M12" s="42"/>
      <c r="N12" s="9"/>
      <c r="R12" s="96"/>
      <c r="V12" s="41"/>
    </row>
    <row r="13" spans="1:22" ht="18.95" customHeight="1" x14ac:dyDescent="0.25">
      <c r="A13" s="40"/>
      <c r="B13" s="114" t="s">
        <v>91</v>
      </c>
      <c r="C13" s="16"/>
      <c r="D13" s="17"/>
      <c r="F13" s="51" t="str">
        <f>B15</f>
        <v>B3</v>
      </c>
      <c r="G13" s="118"/>
      <c r="H13" s="180"/>
      <c r="I13" s="118"/>
      <c r="J13" s="18" t="str">
        <f>B16</f>
        <v>B4</v>
      </c>
      <c r="K13" s="41"/>
      <c r="M13" s="42"/>
      <c r="R13" s="96"/>
      <c r="S13" s="1" t="str">
        <f>"------------------"</f>
        <v>------------------</v>
      </c>
      <c r="T13" s="63" t="str">
        <f>IF(R7="","",IF(R7&gt;R19,Q7,Q19))</f>
        <v/>
      </c>
      <c r="U13" s="118"/>
      <c r="V13" s="41"/>
    </row>
    <row r="14" spans="1:22" ht="18.95" customHeight="1" x14ac:dyDescent="0.25">
      <c r="A14" s="40"/>
      <c r="B14" s="115" t="s">
        <v>92</v>
      </c>
      <c r="C14" s="51"/>
      <c r="D14" s="18"/>
      <c r="F14" s="51" t="str">
        <f>B13</f>
        <v>B1</v>
      </c>
      <c r="G14" s="118"/>
      <c r="H14" s="180"/>
      <c r="I14" s="118"/>
      <c r="J14" s="18" t="str">
        <f>B15</f>
        <v>B3</v>
      </c>
      <c r="K14" s="41"/>
      <c r="M14" s="42"/>
      <c r="R14" s="96"/>
      <c r="U14" s="98"/>
      <c r="V14" s="41"/>
    </row>
    <row r="15" spans="1:22" ht="18.95" customHeight="1" x14ac:dyDescent="0.25">
      <c r="A15" s="40"/>
      <c r="B15" s="115" t="s">
        <v>93</v>
      </c>
      <c r="C15" s="51"/>
      <c r="D15" s="18"/>
      <c r="F15" s="51" t="str">
        <f>B14</f>
        <v>B2</v>
      </c>
      <c r="G15" s="118"/>
      <c r="H15" s="180"/>
      <c r="I15" s="118"/>
      <c r="J15" s="18" t="str">
        <f>B16</f>
        <v>B4</v>
      </c>
      <c r="K15" s="41"/>
      <c r="M15" s="42"/>
      <c r="R15" s="96"/>
      <c r="U15" s="96"/>
      <c r="V15" s="41"/>
    </row>
    <row r="16" spans="1:22" ht="18.95" customHeight="1" thickBot="1" x14ac:dyDescent="0.3">
      <c r="A16" s="40"/>
      <c r="B16" s="116" t="s">
        <v>94</v>
      </c>
      <c r="C16" s="52"/>
      <c r="D16" s="19"/>
      <c r="F16" s="51" t="str">
        <f>B13</f>
        <v>B1</v>
      </c>
      <c r="G16" s="118"/>
      <c r="H16" s="180"/>
      <c r="I16" s="118"/>
      <c r="J16" s="18" t="str">
        <f>B16</f>
        <v>B4</v>
      </c>
      <c r="K16" s="41"/>
      <c r="M16" s="42"/>
      <c r="N16" s="63" t="s">
        <v>71</v>
      </c>
      <c r="O16" s="118"/>
      <c r="R16" s="96"/>
      <c r="U16" s="96"/>
      <c r="V16" s="41"/>
    </row>
    <row r="17" spans="1:22" ht="18.95" customHeight="1" thickBot="1" x14ac:dyDescent="0.3">
      <c r="A17" s="40"/>
      <c r="F17" s="52" t="str">
        <f>B14</f>
        <v>B2</v>
      </c>
      <c r="G17" s="119"/>
      <c r="H17" s="181"/>
      <c r="I17" s="119"/>
      <c r="J17" s="19" t="str">
        <f>B15</f>
        <v>B3</v>
      </c>
      <c r="K17" s="41"/>
      <c r="M17" s="42"/>
      <c r="N17" s="172"/>
      <c r="O17" s="192"/>
      <c r="R17" s="96"/>
      <c r="U17" s="96"/>
      <c r="V17" s="41"/>
    </row>
    <row r="18" spans="1:22" ht="18.95" customHeight="1" thickBot="1" x14ac:dyDescent="0.3">
      <c r="A18" s="40"/>
      <c r="K18" s="41"/>
      <c r="M18" s="42"/>
      <c r="N18" s="9"/>
      <c r="O18" s="96"/>
      <c r="R18" s="97"/>
      <c r="U18" s="96"/>
      <c r="V18" s="41"/>
    </row>
    <row r="19" spans="1:22" ht="18.95" customHeight="1" thickBot="1" x14ac:dyDescent="0.3">
      <c r="A19" s="40"/>
      <c r="F19" s="160" t="s">
        <v>23</v>
      </c>
      <c r="G19" s="161"/>
      <c r="H19" s="161"/>
      <c r="I19" s="161"/>
      <c r="J19" s="162"/>
      <c r="K19" s="41"/>
      <c r="M19" s="42"/>
      <c r="O19" s="96"/>
      <c r="P19" s="1" t="str">
        <f>"------------------"</f>
        <v>------------------</v>
      </c>
      <c r="Q19" s="63" t="str">
        <f>IF(O16="","",IF(O16&gt;O22,N16,N22))</f>
        <v/>
      </c>
      <c r="R19" s="118"/>
      <c r="U19" s="96"/>
      <c r="V19" s="41"/>
    </row>
    <row r="20" spans="1:22" ht="18.95" customHeight="1" thickBot="1" x14ac:dyDescent="0.3">
      <c r="A20" s="40"/>
      <c r="B20" s="33" t="s">
        <v>25</v>
      </c>
      <c r="C20" s="58" t="s">
        <v>3</v>
      </c>
      <c r="D20" s="31" t="s">
        <v>7</v>
      </c>
      <c r="F20" s="53" t="str">
        <f>B21</f>
        <v>C1</v>
      </c>
      <c r="G20" s="120"/>
      <c r="H20" s="179" t="s">
        <v>5</v>
      </c>
      <c r="I20" s="120"/>
      <c r="J20" s="29" t="str">
        <f>B22</f>
        <v>C2</v>
      </c>
      <c r="K20" s="41"/>
      <c r="M20" s="42"/>
      <c r="O20" s="96"/>
      <c r="U20" s="96"/>
      <c r="V20" s="41"/>
    </row>
    <row r="21" spans="1:22" ht="18.95" customHeight="1" x14ac:dyDescent="0.25">
      <c r="A21" s="40"/>
      <c r="B21" s="114" t="s">
        <v>95</v>
      </c>
      <c r="C21" s="16"/>
      <c r="D21" s="17"/>
      <c r="F21" s="51" t="str">
        <f>B23</f>
        <v>C3</v>
      </c>
      <c r="G21" s="118"/>
      <c r="H21" s="180"/>
      <c r="I21" s="118"/>
      <c r="J21" s="18" t="str">
        <f>B24</f>
        <v>C4</v>
      </c>
      <c r="K21" s="41"/>
      <c r="M21" s="42"/>
      <c r="O21" s="96"/>
      <c r="Q21" s="9"/>
      <c r="U21" s="96"/>
      <c r="V21" s="41"/>
    </row>
    <row r="22" spans="1:22" ht="18.95" customHeight="1" x14ac:dyDescent="0.25">
      <c r="A22" s="40"/>
      <c r="B22" s="115" t="s">
        <v>96</v>
      </c>
      <c r="C22" s="51"/>
      <c r="D22" s="18"/>
      <c r="F22" s="51" t="str">
        <f>B21</f>
        <v>C1</v>
      </c>
      <c r="G22" s="118"/>
      <c r="H22" s="180"/>
      <c r="I22" s="118"/>
      <c r="J22" s="18" t="str">
        <f>B23</f>
        <v>C3</v>
      </c>
      <c r="K22" s="41"/>
      <c r="M22" s="42"/>
      <c r="N22" s="63" t="s">
        <v>68</v>
      </c>
      <c r="O22" s="118"/>
      <c r="U22" s="96"/>
      <c r="V22" s="41"/>
    </row>
    <row r="23" spans="1:22" ht="18.95" customHeight="1" x14ac:dyDescent="0.25">
      <c r="A23" s="40"/>
      <c r="B23" s="115" t="s">
        <v>97</v>
      </c>
      <c r="C23" s="51"/>
      <c r="D23" s="18"/>
      <c r="F23" s="51" t="str">
        <f>B22</f>
        <v>C2</v>
      </c>
      <c r="G23" s="118"/>
      <c r="H23" s="180"/>
      <c r="I23" s="118"/>
      <c r="J23" s="18" t="str">
        <f>B24</f>
        <v>C4</v>
      </c>
      <c r="K23" s="41"/>
      <c r="M23" s="42"/>
      <c r="N23" s="172"/>
      <c r="O23" s="172"/>
      <c r="U23" s="96"/>
      <c r="V23" s="41"/>
    </row>
    <row r="24" spans="1:22" ht="18.95" customHeight="1" thickBot="1" x14ac:dyDescent="0.3">
      <c r="A24" s="40"/>
      <c r="B24" s="116" t="s">
        <v>98</v>
      </c>
      <c r="C24" s="52"/>
      <c r="D24" s="19"/>
      <c r="F24" s="51" t="str">
        <f>B21</f>
        <v>C1</v>
      </c>
      <c r="G24" s="118"/>
      <c r="H24" s="180"/>
      <c r="I24" s="118"/>
      <c r="J24" s="18" t="str">
        <f>B24</f>
        <v>C4</v>
      </c>
      <c r="K24" s="41"/>
      <c r="M24" s="42"/>
      <c r="N24" s="9"/>
      <c r="U24" s="96"/>
      <c r="V24" s="41"/>
    </row>
    <row r="25" spans="1:22" ht="18.95" customHeight="1" thickBot="1" x14ac:dyDescent="0.3">
      <c r="A25" s="40"/>
      <c r="F25" s="52" t="str">
        <f>B22</f>
        <v>C2</v>
      </c>
      <c r="G25" s="119"/>
      <c r="H25" s="181"/>
      <c r="I25" s="119"/>
      <c r="J25" s="19" t="str">
        <f>B23</f>
        <v>C3</v>
      </c>
      <c r="K25" s="41"/>
      <c r="M25" s="42"/>
      <c r="U25" s="96"/>
      <c r="V25" s="41"/>
    </row>
    <row r="26" spans="1:22" ht="18.95" customHeight="1" thickBot="1" x14ac:dyDescent="0.3">
      <c r="A26" s="40"/>
      <c r="K26" s="41"/>
      <c r="M26" s="42"/>
      <c r="U26" s="96"/>
      <c r="V26" s="41"/>
    </row>
    <row r="27" spans="1:22" ht="18.95" customHeight="1" thickBot="1" x14ac:dyDescent="0.3">
      <c r="A27" s="40"/>
      <c r="F27" s="187" t="s">
        <v>24</v>
      </c>
      <c r="G27" s="188"/>
      <c r="H27" s="188"/>
      <c r="I27" s="188"/>
      <c r="J27" s="189"/>
      <c r="K27" s="41"/>
      <c r="M27" s="42"/>
      <c r="Q27" s="172"/>
      <c r="R27" s="172"/>
      <c r="U27" s="96"/>
      <c r="V27" s="41"/>
    </row>
    <row r="28" spans="1:22" ht="18.95" customHeight="1" thickBot="1" x14ac:dyDescent="0.3">
      <c r="A28" s="40"/>
      <c r="B28" s="33" t="s">
        <v>26</v>
      </c>
      <c r="C28" s="66" t="s">
        <v>3</v>
      </c>
      <c r="D28" s="31" t="s">
        <v>7</v>
      </c>
      <c r="F28" s="16" t="str">
        <f>B29</f>
        <v>D1</v>
      </c>
      <c r="G28" s="117"/>
      <c r="H28" s="194" t="s">
        <v>5</v>
      </c>
      <c r="I28" s="117"/>
      <c r="J28" s="17" t="str">
        <f>B30</f>
        <v>D2</v>
      </c>
      <c r="K28" s="41"/>
      <c r="M28" s="42"/>
      <c r="N28" s="63" t="s">
        <v>75</v>
      </c>
      <c r="O28" s="118"/>
      <c r="Q28" s="9"/>
      <c r="U28" s="96"/>
      <c r="V28" s="41"/>
    </row>
    <row r="29" spans="1:22" ht="18.95" customHeight="1" x14ac:dyDescent="0.25">
      <c r="A29" s="40"/>
      <c r="B29" s="114" t="s">
        <v>99</v>
      </c>
      <c r="C29" s="4"/>
      <c r="D29" s="29"/>
      <c r="F29" s="51" t="str">
        <f>B31</f>
        <v>D3</v>
      </c>
      <c r="G29" s="118"/>
      <c r="H29" s="180"/>
      <c r="I29" s="118"/>
      <c r="J29" s="18" t="str">
        <f>B32</f>
        <v>D4</v>
      </c>
      <c r="K29" s="41"/>
      <c r="M29" s="42"/>
      <c r="N29" s="172"/>
      <c r="O29" s="192"/>
      <c r="Q29" s="9"/>
      <c r="U29" s="96"/>
      <c r="V29" s="41"/>
    </row>
    <row r="30" spans="1:22" ht="18.95" customHeight="1" x14ac:dyDescent="0.25">
      <c r="A30" s="40"/>
      <c r="B30" s="115" t="s">
        <v>100</v>
      </c>
      <c r="C30" s="2"/>
      <c r="D30" s="18"/>
      <c r="F30" s="51" t="str">
        <f>B29</f>
        <v>D1</v>
      </c>
      <c r="G30" s="118"/>
      <c r="H30" s="180"/>
      <c r="I30" s="118"/>
      <c r="J30" s="18" t="str">
        <f>B31</f>
        <v>D3</v>
      </c>
      <c r="K30" s="41"/>
      <c r="M30" s="42"/>
      <c r="N30" s="9"/>
      <c r="O30" s="96"/>
      <c r="Q30" s="9"/>
      <c r="U30" s="96"/>
      <c r="V30" s="41"/>
    </row>
    <row r="31" spans="1:22" ht="18.95" customHeight="1" x14ac:dyDescent="0.25">
      <c r="A31" s="40"/>
      <c r="B31" s="115" t="s">
        <v>101</v>
      </c>
      <c r="C31" s="2"/>
      <c r="D31" s="18"/>
      <c r="F31" s="51" t="str">
        <f>B30</f>
        <v>D2</v>
      </c>
      <c r="G31" s="118"/>
      <c r="H31" s="180"/>
      <c r="I31" s="118"/>
      <c r="J31" s="18" t="str">
        <f>B32</f>
        <v>D4</v>
      </c>
      <c r="K31" s="41"/>
      <c r="M31" s="42"/>
      <c r="O31" s="96"/>
      <c r="P31" s="1" t="str">
        <f>"------------------"</f>
        <v>------------------</v>
      </c>
      <c r="Q31" s="63" t="str">
        <f>IF(O28="","",IF(O28&gt;O34,N28,N34))</f>
        <v/>
      </c>
      <c r="R31" s="118"/>
      <c r="U31" s="96"/>
      <c r="V31" s="41"/>
    </row>
    <row r="32" spans="1:22" ht="18.95" customHeight="1" thickBot="1" x14ac:dyDescent="0.3">
      <c r="A32" s="40"/>
      <c r="B32" s="116" t="s">
        <v>102</v>
      </c>
      <c r="C32" s="28"/>
      <c r="D32" s="19"/>
      <c r="F32" s="51" t="str">
        <f>B29</f>
        <v>D1</v>
      </c>
      <c r="G32" s="118"/>
      <c r="H32" s="180"/>
      <c r="I32" s="118"/>
      <c r="J32" s="18" t="str">
        <f>B32</f>
        <v>D4</v>
      </c>
      <c r="K32" s="41"/>
      <c r="M32" s="42"/>
      <c r="O32" s="96"/>
      <c r="R32" s="98"/>
      <c r="U32" s="96"/>
      <c r="V32" s="41"/>
    </row>
    <row r="33" spans="1:22" ht="18.95" customHeight="1" thickBot="1" x14ac:dyDescent="0.3">
      <c r="A33" s="40"/>
      <c r="F33" s="52" t="str">
        <f>B30</f>
        <v>D2</v>
      </c>
      <c r="G33" s="119"/>
      <c r="H33" s="181"/>
      <c r="I33" s="119"/>
      <c r="J33" s="19" t="str">
        <f>B31</f>
        <v>D3</v>
      </c>
      <c r="K33" s="41"/>
      <c r="M33" s="42"/>
      <c r="O33" s="96"/>
      <c r="R33" s="96"/>
      <c r="U33" s="96"/>
      <c r="V33" s="41"/>
    </row>
    <row r="34" spans="1:22" ht="18.95" customHeight="1" thickBot="1" x14ac:dyDescent="0.3">
      <c r="A34" s="49"/>
      <c r="B34" s="45"/>
      <c r="C34" s="45"/>
      <c r="D34" s="45"/>
      <c r="E34" s="45"/>
      <c r="F34" s="45"/>
      <c r="G34" s="45"/>
      <c r="H34" s="45"/>
      <c r="I34" s="45"/>
      <c r="J34" s="45"/>
      <c r="K34" s="46"/>
      <c r="M34" s="40"/>
      <c r="N34" s="63" t="s">
        <v>69</v>
      </c>
      <c r="O34" s="118"/>
      <c r="R34" s="96"/>
      <c r="U34" s="96"/>
      <c r="V34" s="41"/>
    </row>
    <row r="35" spans="1:22" ht="18.95" customHeight="1" x14ac:dyDescent="0.25">
      <c r="M35" s="42"/>
      <c r="N35" s="172"/>
      <c r="O35" s="172"/>
      <c r="R35" s="96"/>
      <c r="U35" s="96"/>
      <c r="V35" s="41"/>
    </row>
    <row r="36" spans="1:22" ht="18.95" customHeight="1" x14ac:dyDescent="0.25">
      <c r="M36" s="42"/>
      <c r="N36" s="9"/>
      <c r="R36" s="96"/>
      <c r="U36" s="97"/>
      <c r="V36" s="41"/>
    </row>
    <row r="37" spans="1:22" ht="18.95" customHeight="1" x14ac:dyDescent="0.25">
      <c r="M37" s="42"/>
      <c r="R37" s="96"/>
      <c r="S37" s="1" t="str">
        <f>"------------------"</f>
        <v>------------------</v>
      </c>
      <c r="T37" s="63" t="str">
        <f>IF(R31="","",IF(R31&gt;R43,Q31,Q43))</f>
        <v/>
      </c>
      <c r="U37" s="118"/>
      <c r="V37" s="41"/>
    </row>
    <row r="38" spans="1:22" ht="18.95" customHeight="1" x14ac:dyDescent="0.25">
      <c r="M38" s="42"/>
      <c r="R38" s="96"/>
      <c r="V38" s="41"/>
    </row>
    <row r="39" spans="1:22" ht="18.95" customHeight="1" x14ac:dyDescent="0.25">
      <c r="M39" s="42"/>
      <c r="R39" s="96"/>
      <c r="V39" s="41"/>
    </row>
    <row r="40" spans="1:22" ht="18.95" customHeight="1" x14ac:dyDescent="0.25">
      <c r="M40" s="42"/>
      <c r="N40" s="63" t="s">
        <v>80</v>
      </c>
      <c r="O40" s="118"/>
      <c r="R40" s="96"/>
      <c r="V40" s="41"/>
    </row>
    <row r="41" spans="1:22" ht="18.95" customHeight="1" x14ac:dyDescent="0.25">
      <c r="M41" s="42"/>
      <c r="N41" s="172"/>
      <c r="O41" s="192"/>
      <c r="R41" s="96"/>
      <c r="V41" s="41"/>
    </row>
    <row r="42" spans="1:22" ht="18.95" customHeight="1" x14ac:dyDescent="0.25">
      <c r="M42" s="42"/>
      <c r="N42" s="9"/>
      <c r="O42" s="96"/>
      <c r="R42" s="97"/>
      <c r="V42" s="41"/>
    </row>
    <row r="43" spans="1:22" ht="18.95" customHeight="1" x14ac:dyDescent="0.25">
      <c r="M43" s="42"/>
      <c r="O43" s="96"/>
      <c r="P43" s="1" t="str">
        <f>"------------------"</f>
        <v>------------------</v>
      </c>
      <c r="Q43" s="63" t="str">
        <f>IF(O40="","",IF(O40&gt;O46,N40,N46))</f>
        <v/>
      </c>
      <c r="R43" s="118"/>
      <c r="V43" s="41"/>
    </row>
    <row r="44" spans="1:22" ht="18.95" customHeight="1" x14ac:dyDescent="0.25">
      <c r="M44" s="42"/>
      <c r="O44" s="96"/>
      <c r="V44" s="41"/>
    </row>
    <row r="45" spans="1:22" ht="18.95" customHeight="1" x14ac:dyDescent="0.25">
      <c r="M45" s="42"/>
      <c r="O45" s="96"/>
      <c r="T45" s="63" t="str">
        <f>IF(T13="","",IF(T13=Q7,Q19,Q7))</f>
        <v/>
      </c>
      <c r="U45" s="118"/>
      <c r="V45" s="41"/>
    </row>
    <row r="46" spans="1:22" ht="18.95" customHeight="1" x14ac:dyDescent="0.25">
      <c r="M46" s="42"/>
      <c r="N46" s="63" t="s">
        <v>72</v>
      </c>
      <c r="O46" s="118"/>
      <c r="V46" s="41"/>
    </row>
    <row r="47" spans="1:22" ht="18.95" customHeight="1" x14ac:dyDescent="0.25">
      <c r="M47" s="42"/>
      <c r="T47" s="63" t="str">
        <f>IF(T37="","",IF(T37=Q31,Q43,Q31))</f>
        <v/>
      </c>
      <c r="U47" s="118"/>
      <c r="V47" s="41"/>
    </row>
    <row r="48" spans="1:22" ht="18.95" customHeight="1" thickBot="1" x14ac:dyDescent="0.3">
      <c r="M48" s="49"/>
      <c r="N48" s="45"/>
      <c r="O48" s="45"/>
      <c r="P48" s="45"/>
      <c r="Q48" s="45"/>
      <c r="R48" s="45"/>
      <c r="S48" s="45"/>
      <c r="T48" s="45"/>
      <c r="U48" s="45"/>
      <c r="V48" s="46"/>
    </row>
    <row r="49" ht="18.95" customHeight="1" x14ac:dyDescent="0.25"/>
  </sheetData>
  <protectedRanges>
    <protectedRange algorithmName="SHA-512" hashValue="DFEKZkfjwVaa91rcPUWznniPfdWvpWyZu9h/X6L9ECdOV+PpGmEH1EKuJa6LysfnP5hwlJ+wWn1ZKHji/qoMZA==" saltValue="/iI4DYz0TEGm/Cjtm+aeug==" spinCount="100000" sqref="B5:B7 G4:G9 I4:I9 B13:B15 G12:G17 I12:I17 B21:B23 G20:G25 I20:I25 B29:B31 G28:G33 I28:I33" name="Saissable6_1"/>
    <protectedRange algorithmName="SHA-512" hashValue="DFEKZkfjwVaa91rcPUWznniPfdWvpWyZu9h/X6L9ECdOV+PpGmEH1EKuJa6LysfnP5hwlJ+wWn1ZKHji/qoMZA==" saltValue="/iI4DYz0TEGm/Cjtm+aeug==" spinCount="100000" sqref="R30 R28" name="Saissable6_2"/>
    <protectedRange algorithmName="SHA-512" hashValue="DFEKZkfjwVaa91rcPUWznniPfdWvpWyZu9h/X6L9ECdOV+PpGmEH1EKuJa6LysfnP5hwlJ+wWn1ZKHji/qoMZA==" saltValue="/iI4DYz0TEGm/Cjtm+aeug==" spinCount="100000" sqref="O6 O12 O24 R9 R21 O18 O30 O36 O42" name="Saissable6_3"/>
  </protectedRanges>
  <mergeCells count="19">
    <mergeCell ref="H20:H25"/>
    <mergeCell ref="N23:O23"/>
    <mergeCell ref="F27:J27"/>
    <mergeCell ref="A1:K1"/>
    <mergeCell ref="M1:V1"/>
    <mergeCell ref="F3:J3"/>
    <mergeCell ref="H4:H9"/>
    <mergeCell ref="N5:O5"/>
    <mergeCell ref="Q8:R8"/>
    <mergeCell ref="F11:J11"/>
    <mergeCell ref="N11:O11"/>
    <mergeCell ref="H12:H17"/>
    <mergeCell ref="N17:O17"/>
    <mergeCell ref="F19:J19"/>
    <mergeCell ref="Q27:R27"/>
    <mergeCell ref="H28:H33"/>
    <mergeCell ref="N29:O29"/>
    <mergeCell ref="N35:O35"/>
    <mergeCell ref="N41:O41"/>
  </mergeCells>
  <pageMargins left="0.23622047244094491" right="0.23622047244094491" top="0.74803149606299213" bottom="0.74803149606299213" header="0.31496062992125984" footer="0.31496062992125984"/>
  <pageSetup paperSize="9" scale="56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E15A-66CC-4E20-8EA3-682B892F7120}">
  <sheetPr>
    <tabColor theme="6" tint="0.79998168889431442"/>
    <pageSetUpPr fitToPage="1"/>
  </sheetPr>
  <dimension ref="A1:V48"/>
  <sheetViews>
    <sheetView workbookViewId="0">
      <selection activeCell="I4" sqref="I4"/>
    </sheetView>
  </sheetViews>
  <sheetFormatPr defaultColWidth="11.42578125" defaultRowHeight="15" x14ac:dyDescent="0.25"/>
  <cols>
    <col min="1" max="1" width="5.7109375" style="1" customWidth="1"/>
    <col min="2" max="2" width="22.85546875" style="1" customWidth="1"/>
    <col min="3" max="4" width="11.42578125" style="1"/>
    <col min="5" max="5" width="2.7109375" style="1" customWidth="1"/>
    <col min="6" max="6" width="2.28515625" style="1" bestFit="1" customWidth="1"/>
    <col min="7" max="7" width="5.7109375" style="1" customWidth="1"/>
    <col min="8" max="8" width="3.85546875" style="3" customWidth="1"/>
    <col min="9" max="9" width="5.7109375" style="1" customWidth="1"/>
    <col min="10" max="10" width="2.140625" style="1" bestFit="1" customWidth="1"/>
    <col min="11" max="11" width="5.7109375" style="1" customWidth="1"/>
    <col min="12" max="12" width="2.7109375" style="9" customWidth="1"/>
    <col min="13" max="13" width="2.7109375" style="1" customWidth="1"/>
    <col min="14" max="14" width="11.42578125" style="1"/>
    <col min="15" max="15" width="23" style="1" customWidth="1"/>
    <col min="16" max="16" width="11.42578125" style="1"/>
    <col min="17" max="17" width="23" style="1" customWidth="1"/>
    <col min="18" max="18" width="11.42578125" style="1"/>
    <col min="19" max="19" width="22.85546875" style="1" customWidth="1"/>
    <col min="20" max="20" width="11.42578125" style="1"/>
    <col min="21" max="21" width="22.85546875" style="1" customWidth="1"/>
    <col min="22" max="16384" width="11.42578125" style="1"/>
  </cols>
  <sheetData>
    <row r="1" spans="1:22" ht="17.100000000000001" customHeight="1" thickBot="1" x14ac:dyDescent="0.3">
      <c r="H1" s="1"/>
      <c r="L1" s="1"/>
      <c r="N1" s="150" t="s">
        <v>27</v>
      </c>
      <c r="O1" s="151"/>
      <c r="P1" s="151"/>
      <c r="Q1" s="151"/>
      <c r="R1" s="151"/>
      <c r="S1" s="151"/>
      <c r="T1" s="151"/>
      <c r="U1" s="151"/>
      <c r="V1" s="152"/>
    </row>
    <row r="2" spans="1:22" ht="17.100000000000001" customHeight="1" x14ac:dyDescent="0.25">
      <c r="B2" s="1" t="s">
        <v>107</v>
      </c>
      <c r="H2" s="1"/>
      <c r="L2" s="1"/>
      <c r="N2" s="42"/>
      <c r="V2" s="41"/>
    </row>
    <row r="3" spans="1:22" ht="17.100000000000001" customHeight="1" x14ac:dyDescent="0.25">
      <c r="B3" s="1" t="s">
        <v>108</v>
      </c>
      <c r="H3" s="1"/>
      <c r="L3" s="1"/>
      <c r="N3" s="42" t="s">
        <v>66</v>
      </c>
      <c r="O3" s="63"/>
      <c r="V3" s="41"/>
    </row>
    <row r="4" spans="1:22" ht="17.100000000000001" customHeight="1" x14ac:dyDescent="0.25">
      <c r="B4" s="1" t="s">
        <v>109</v>
      </c>
      <c r="H4" s="1"/>
      <c r="N4" s="42"/>
      <c r="O4" s="11"/>
      <c r="P4" s="121" t="str">
        <f>"---------------"</f>
        <v>---------------</v>
      </c>
      <c r="Q4" s="63"/>
      <c r="V4" s="41"/>
    </row>
    <row r="5" spans="1:22" ht="17.100000000000001" customHeight="1" x14ac:dyDescent="0.25">
      <c r="B5" s="1" t="s">
        <v>113</v>
      </c>
      <c r="H5" s="1"/>
      <c r="N5" s="42" t="s">
        <v>77</v>
      </c>
      <c r="O5" s="34"/>
      <c r="Q5" s="11"/>
      <c r="R5" s="121"/>
      <c r="V5" s="41"/>
    </row>
    <row r="6" spans="1:22" ht="17.100000000000001" customHeight="1" x14ac:dyDescent="0.25">
      <c r="H6" s="1"/>
      <c r="L6" s="10"/>
      <c r="N6" s="42"/>
      <c r="O6" s="9"/>
      <c r="Q6" s="9"/>
      <c r="R6" s="121"/>
      <c r="V6" s="41"/>
    </row>
    <row r="7" spans="1:22" ht="17.100000000000001" customHeight="1" thickBot="1" x14ac:dyDescent="0.3">
      <c r="H7" s="1"/>
      <c r="N7" s="42"/>
      <c r="O7" s="9"/>
      <c r="R7" s="121" t="str">
        <f>"---------------"</f>
        <v>---------------</v>
      </c>
      <c r="S7" s="63"/>
      <c r="V7" s="41"/>
    </row>
    <row r="8" spans="1:22" ht="17.100000000000001" customHeight="1" thickBot="1" x14ac:dyDescent="0.3">
      <c r="A8" s="150" t="s">
        <v>19</v>
      </c>
      <c r="B8" s="151"/>
      <c r="C8" s="151"/>
      <c r="D8" s="151"/>
      <c r="E8" s="151"/>
      <c r="F8" s="151"/>
      <c r="G8" s="151"/>
      <c r="H8" s="151"/>
      <c r="I8" s="151"/>
      <c r="J8" s="151"/>
      <c r="K8" s="152"/>
      <c r="N8" s="42"/>
      <c r="R8" s="121"/>
      <c r="S8" s="109"/>
      <c r="T8" s="121"/>
      <c r="V8" s="41"/>
    </row>
    <row r="9" spans="1:22" ht="17.100000000000001" customHeight="1" thickBot="1" x14ac:dyDescent="0.3">
      <c r="A9" s="37"/>
      <c r="B9" s="38"/>
      <c r="C9" s="38"/>
      <c r="D9" s="38"/>
      <c r="E9" s="38"/>
      <c r="F9" s="38"/>
      <c r="G9" s="38"/>
      <c r="H9" s="38"/>
      <c r="I9" s="38"/>
      <c r="J9" s="38"/>
      <c r="K9" s="47"/>
      <c r="N9" s="42" t="s">
        <v>72</v>
      </c>
      <c r="O9" s="63"/>
      <c r="R9" s="121"/>
      <c r="S9" s="9"/>
      <c r="T9" s="121"/>
      <c r="V9" s="41"/>
    </row>
    <row r="10" spans="1:22" ht="17.100000000000001" customHeight="1" thickBot="1" x14ac:dyDescent="0.3">
      <c r="A10" s="40"/>
      <c r="B10" s="33" t="s">
        <v>1</v>
      </c>
      <c r="C10" s="30" t="s">
        <v>3</v>
      </c>
      <c r="D10" s="31" t="s">
        <v>7</v>
      </c>
      <c r="F10" s="160" t="s">
        <v>110</v>
      </c>
      <c r="G10" s="161"/>
      <c r="H10" s="161"/>
      <c r="I10" s="161"/>
      <c r="J10" s="162"/>
      <c r="K10" s="41"/>
      <c r="N10" s="42"/>
      <c r="O10" s="11"/>
      <c r="P10" s="121" t="str">
        <f>"---------------"</f>
        <v>---------------</v>
      </c>
      <c r="Q10" s="63"/>
      <c r="T10" s="121"/>
      <c r="V10" s="41"/>
    </row>
    <row r="11" spans="1:22" ht="17.100000000000001" customHeight="1" x14ac:dyDescent="0.25">
      <c r="A11" s="40"/>
      <c r="B11" s="114" t="s">
        <v>41</v>
      </c>
      <c r="C11" s="4"/>
      <c r="D11" s="29"/>
      <c r="F11" s="20" t="str">
        <f>B11</f>
        <v>A</v>
      </c>
      <c r="G11" s="120"/>
      <c r="H11" s="169" t="s">
        <v>5</v>
      </c>
      <c r="I11" s="120"/>
      <c r="J11" s="21" t="str">
        <f>B12</f>
        <v>B</v>
      </c>
      <c r="K11" s="41"/>
      <c r="N11" s="42" t="s">
        <v>69</v>
      </c>
      <c r="O11" s="34"/>
      <c r="Q11" s="11"/>
      <c r="T11" s="121"/>
      <c r="V11" s="41"/>
    </row>
    <row r="12" spans="1:22" ht="17.100000000000001" customHeight="1" x14ac:dyDescent="0.25">
      <c r="A12" s="40"/>
      <c r="B12" s="115" t="s">
        <v>43</v>
      </c>
      <c r="C12" s="2"/>
      <c r="D12" s="18"/>
      <c r="F12" s="22" t="str">
        <f>B11</f>
        <v>A</v>
      </c>
      <c r="G12" s="118"/>
      <c r="H12" s="170"/>
      <c r="I12" s="118"/>
      <c r="J12" s="23" t="str">
        <f>B13</f>
        <v>C</v>
      </c>
      <c r="K12" s="41"/>
      <c r="N12" s="42"/>
      <c r="O12" s="9"/>
      <c r="Q12" s="9"/>
      <c r="T12" s="121"/>
      <c r="V12" s="41"/>
    </row>
    <row r="13" spans="1:22" ht="17.100000000000001" customHeight="1" thickBot="1" x14ac:dyDescent="0.3">
      <c r="A13" s="40"/>
      <c r="B13" s="116" t="s">
        <v>44</v>
      </c>
      <c r="C13" s="28"/>
      <c r="D13" s="19"/>
      <c r="F13" s="24" t="str">
        <f>B12</f>
        <v>B</v>
      </c>
      <c r="G13" s="119"/>
      <c r="H13" s="171"/>
      <c r="I13" s="119"/>
      <c r="J13" s="26" t="str">
        <f>B13</f>
        <v>C</v>
      </c>
      <c r="K13" s="41"/>
      <c r="N13" s="42"/>
      <c r="O13" s="9"/>
      <c r="T13" s="121" t="str">
        <f>"---------------"</f>
        <v>---------------</v>
      </c>
      <c r="U13" s="63"/>
      <c r="V13" s="41"/>
    </row>
    <row r="14" spans="1:22" ht="17.100000000000001" customHeight="1" thickBot="1" x14ac:dyDescent="0.3">
      <c r="A14" s="40"/>
      <c r="K14" s="48"/>
      <c r="N14" s="42"/>
      <c r="T14" s="121"/>
      <c r="V14" s="122"/>
    </row>
    <row r="15" spans="1:22" ht="17.100000000000001" customHeight="1" thickBot="1" x14ac:dyDescent="0.3">
      <c r="A15" s="40"/>
      <c r="B15" s="33" t="s">
        <v>2</v>
      </c>
      <c r="C15" s="30" t="s">
        <v>3</v>
      </c>
      <c r="D15" s="31" t="s">
        <v>7</v>
      </c>
      <c r="F15" s="160" t="s">
        <v>110</v>
      </c>
      <c r="G15" s="161"/>
      <c r="H15" s="161"/>
      <c r="I15" s="161"/>
      <c r="J15" s="162"/>
      <c r="K15" s="41"/>
      <c r="N15" s="42" t="s">
        <v>111</v>
      </c>
      <c r="O15" s="63"/>
      <c r="T15" s="121"/>
      <c r="V15" s="122"/>
    </row>
    <row r="16" spans="1:22" ht="17.100000000000001" customHeight="1" x14ac:dyDescent="0.25">
      <c r="A16" s="40"/>
      <c r="B16" s="115" t="s">
        <v>41</v>
      </c>
      <c r="C16" s="27"/>
      <c r="D16" s="17"/>
      <c r="F16" s="20" t="str">
        <f>B16</f>
        <v>A</v>
      </c>
      <c r="G16" s="120"/>
      <c r="H16" s="106" t="s">
        <v>5</v>
      </c>
      <c r="I16" s="120"/>
      <c r="J16" s="21" t="str">
        <f>B17</f>
        <v>B</v>
      </c>
      <c r="K16" s="41"/>
      <c r="N16" s="42"/>
      <c r="O16" s="11"/>
      <c r="P16" s="121" t="str">
        <f>"---------------"</f>
        <v>---------------</v>
      </c>
      <c r="Q16" s="63"/>
      <c r="T16" s="121"/>
      <c r="V16" s="122"/>
    </row>
    <row r="17" spans="1:22" ht="17.100000000000001" customHeight="1" x14ac:dyDescent="0.25">
      <c r="A17" s="40"/>
      <c r="B17" s="115" t="s">
        <v>43</v>
      </c>
      <c r="C17" s="2"/>
      <c r="D17" s="18"/>
      <c r="F17" s="22" t="str">
        <f>B16</f>
        <v>A</v>
      </c>
      <c r="G17" s="118"/>
      <c r="H17" s="107"/>
      <c r="I17" s="118"/>
      <c r="J17" s="23" t="str">
        <f>B18</f>
        <v>C</v>
      </c>
      <c r="K17" s="41"/>
      <c r="N17" s="42" t="s">
        <v>71</v>
      </c>
      <c r="O17" s="34"/>
      <c r="Q17" s="11"/>
      <c r="R17" s="121"/>
      <c r="T17" s="121"/>
      <c r="V17" s="122"/>
    </row>
    <row r="18" spans="1:22" ht="17.100000000000001" customHeight="1" thickBot="1" x14ac:dyDescent="0.3">
      <c r="A18" s="40"/>
      <c r="B18" s="115" t="s">
        <v>44</v>
      </c>
      <c r="C18" s="28"/>
      <c r="D18" s="19"/>
      <c r="F18" s="24" t="str">
        <f>B17</f>
        <v>B</v>
      </c>
      <c r="G18" s="119"/>
      <c r="H18" s="108"/>
      <c r="I18" s="119"/>
      <c r="J18" s="26" t="str">
        <f>B18</f>
        <v>C</v>
      </c>
      <c r="K18" s="41"/>
      <c r="N18" s="42"/>
      <c r="O18" s="9"/>
      <c r="Q18" s="9"/>
      <c r="R18" s="121"/>
      <c r="T18" s="121"/>
      <c r="V18" s="122"/>
    </row>
    <row r="19" spans="1:22" ht="17.100000000000001" customHeight="1" thickBot="1" x14ac:dyDescent="0.3">
      <c r="A19" s="40"/>
      <c r="K19" s="41"/>
      <c r="N19" s="42"/>
      <c r="O19" s="9"/>
      <c r="R19" s="121" t="str">
        <f>"---------------"</f>
        <v>---------------</v>
      </c>
      <c r="S19" s="63"/>
      <c r="V19" s="122"/>
    </row>
    <row r="20" spans="1:22" ht="17.100000000000001" customHeight="1" thickBot="1" x14ac:dyDescent="0.3">
      <c r="A20" s="40"/>
      <c r="B20" s="33" t="s">
        <v>25</v>
      </c>
      <c r="C20" s="30" t="s">
        <v>3</v>
      </c>
      <c r="D20" s="31" t="s">
        <v>7</v>
      </c>
      <c r="F20" s="160" t="s">
        <v>110</v>
      </c>
      <c r="G20" s="161"/>
      <c r="H20" s="161"/>
      <c r="I20" s="161"/>
      <c r="J20" s="162"/>
      <c r="K20" s="41"/>
      <c r="N20" s="42"/>
      <c r="R20" s="121"/>
      <c r="V20" s="122"/>
    </row>
    <row r="21" spans="1:22" ht="17.100000000000001" customHeight="1" x14ac:dyDescent="0.25">
      <c r="A21" s="40"/>
      <c r="B21" s="114" t="s">
        <v>41</v>
      </c>
      <c r="C21" s="4"/>
      <c r="D21" s="29"/>
      <c r="F21" s="20" t="str">
        <f>B21</f>
        <v>A</v>
      </c>
      <c r="G21" s="120"/>
      <c r="H21" s="106" t="s">
        <v>5</v>
      </c>
      <c r="I21" s="120"/>
      <c r="J21" s="21" t="str">
        <f>B22</f>
        <v>B</v>
      </c>
      <c r="K21" s="41"/>
      <c r="N21" s="42" t="s">
        <v>78</v>
      </c>
      <c r="O21" s="63"/>
      <c r="R21" s="121"/>
      <c r="S21" s="9"/>
      <c r="V21" s="122"/>
    </row>
    <row r="22" spans="1:22" ht="17.100000000000001" customHeight="1" x14ac:dyDescent="0.25">
      <c r="A22" s="40"/>
      <c r="B22" s="115" t="s">
        <v>43</v>
      </c>
      <c r="C22" s="2"/>
      <c r="D22" s="18"/>
      <c r="F22" s="22" t="str">
        <f>B21</f>
        <v>A</v>
      </c>
      <c r="G22" s="118"/>
      <c r="H22" s="107"/>
      <c r="I22" s="118"/>
      <c r="J22" s="23" t="str">
        <f>B23</f>
        <v>C</v>
      </c>
      <c r="K22" s="41"/>
      <c r="N22" s="42"/>
      <c r="O22" s="11"/>
      <c r="P22" s="121" t="str">
        <f>"---------------"</f>
        <v>---------------</v>
      </c>
      <c r="Q22" s="63"/>
      <c r="V22" s="122"/>
    </row>
    <row r="23" spans="1:22" ht="17.100000000000001" customHeight="1" thickBot="1" x14ac:dyDescent="0.3">
      <c r="A23" s="40"/>
      <c r="B23" s="116" t="s">
        <v>44</v>
      </c>
      <c r="C23" s="28"/>
      <c r="D23" s="19"/>
      <c r="F23" s="24" t="str">
        <f>B22</f>
        <v>B</v>
      </c>
      <c r="G23" s="119"/>
      <c r="H23" s="108"/>
      <c r="I23" s="119"/>
      <c r="J23" s="26" t="str">
        <f>B23</f>
        <v>C</v>
      </c>
      <c r="K23" s="41"/>
      <c r="N23" s="42" t="s">
        <v>105</v>
      </c>
      <c r="O23" s="34"/>
      <c r="Q23" s="11"/>
      <c r="V23" s="122"/>
    </row>
    <row r="24" spans="1:22" ht="17.100000000000001" customHeight="1" thickBot="1" x14ac:dyDescent="0.3">
      <c r="A24" s="40"/>
      <c r="K24" s="48"/>
      <c r="N24" s="42"/>
      <c r="O24" s="9"/>
      <c r="Q24" s="9"/>
      <c r="V24" s="122"/>
    </row>
    <row r="25" spans="1:22" ht="17.100000000000001" customHeight="1" thickBot="1" x14ac:dyDescent="0.3">
      <c r="A25" s="40"/>
      <c r="B25" s="33" t="s">
        <v>26</v>
      </c>
      <c r="C25" s="30" t="s">
        <v>3</v>
      </c>
      <c r="D25" s="31" t="s">
        <v>7</v>
      </c>
      <c r="F25" s="160" t="s">
        <v>110</v>
      </c>
      <c r="G25" s="161"/>
      <c r="H25" s="161"/>
      <c r="I25" s="161"/>
      <c r="J25" s="162"/>
      <c r="K25" s="41"/>
      <c r="N25" s="42"/>
      <c r="O25" s="9"/>
      <c r="V25" s="122"/>
    </row>
    <row r="26" spans="1:22" ht="17.100000000000001" customHeight="1" x14ac:dyDescent="0.25">
      <c r="A26" s="40"/>
      <c r="B26" s="115" t="s">
        <v>41</v>
      </c>
      <c r="C26" s="27"/>
      <c r="D26" s="17"/>
      <c r="F26" s="20" t="str">
        <f>B26</f>
        <v>A</v>
      </c>
      <c r="G26" s="120"/>
      <c r="H26" s="106" t="s">
        <v>5</v>
      </c>
      <c r="I26" s="120"/>
      <c r="J26" s="21" t="str">
        <f>B27</f>
        <v>B</v>
      </c>
      <c r="K26" s="41"/>
      <c r="N26" s="42"/>
      <c r="V26" s="122"/>
    </row>
    <row r="27" spans="1:22" ht="17.100000000000001" customHeight="1" x14ac:dyDescent="0.25">
      <c r="A27" s="40"/>
      <c r="B27" s="115" t="s">
        <v>43</v>
      </c>
      <c r="C27" s="2"/>
      <c r="D27" s="18"/>
      <c r="F27" s="22" t="str">
        <f>B26</f>
        <v>A</v>
      </c>
      <c r="G27" s="118"/>
      <c r="H27" s="107"/>
      <c r="I27" s="118"/>
      <c r="J27" s="23" t="str">
        <f>B28</f>
        <v>C</v>
      </c>
      <c r="K27" s="41"/>
      <c r="N27" s="42" t="s">
        <v>106</v>
      </c>
      <c r="O27" s="63"/>
      <c r="S27" s="11"/>
      <c r="V27" s="122"/>
    </row>
    <row r="28" spans="1:22" ht="17.100000000000001" customHeight="1" thickBot="1" x14ac:dyDescent="0.3">
      <c r="A28" s="40"/>
      <c r="B28" s="116" t="s">
        <v>44</v>
      </c>
      <c r="C28" s="28"/>
      <c r="D28" s="19"/>
      <c r="F28" s="24" t="str">
        <f>B27</f>
        <v>B</v>
      </c>
      <c r="G28" s="119"/>
      <c r="H28" s="108"/>
      <c r="I28" s="119"/>
      <c r="J28" s="26" t="str">
        <f>B28</f>
        <v>C</v>
      </c>
      <c r="K28" s="41"/>
      <c r="N28" s="42"/>
      <c r="O28" s="11"/>
      <c r="P28" s="121" t="str">
        <f>"---------------"</f>
        <v>---------------</v>
      </c>
      <c r="Q28" s="63"/>
      <c r="S28" s="9"/>
      <c r="V28" s="122"/>
    </row>
    <row r="29" spans="1:22" ht="17.100000000000001" customHeight="1" thickBot="1" x14ac:dyDescent="0.3">
      <c r="A29" s="40"/>
      <c r="K29" s="41"/>
      <c r="N29" s="42" t="s">
        <v>73</v>
      </c>
      <c r="O29" s="34"/>
      <c r="Q29" s="11"/>
      <c r="R29" s="121"/>
      <c r="S29" s="9"/>
      <c r="V29" s="122"/>
    </row>
    <row r="30" spans="1:22" ht="17.100000000000001" customHeight="1" thickBot="1" x14ac:dyDescent="0.3">
      <c r="A30" s="40"/>
      <c r="B30" s="33" t="s">
        <v>103</v>
      </c>
      <c r="C30" s="30" t="s">
        <v>3</v>
      </c>
      <c r="D30" s="31" t="s">
        <v>7</v>
      </c>
      <c r="F30" s="160" t="s">
        <v>110</v>
      </c>
      <c r="G30" s="161"/>
      <c r="H30" s="161"/>
      <c r="I30" s="161"/>
      <c r="J30" s="162"/>
      <c r="K30" s="41"/>
      <c r="N30" s="42"/>
      <c r="O30" s="9"/>
      <c r="Q30" s="9"/>
      <c r="R30" s="121"/>
      <c r="S30" s="9"/>
      <c r="V30" s="122"/>
    </row>
    <row r="31" spans="1:22" ht="17.100000000000001" customHeight="1" x14ac:dyDescent="0.25">
      <c r="A31" s="40"/>
      <c r="B31" s="114" t="s">
        <v>41</v>
      </c>
      <c r="C31" s="4"/>
      <c r="D31" s="29"/>
      <c r="F31" s="20" t="str">
        <f>B31</f>
        <v>A</v>
      </c>
      <c r="G31" s="120"/>
      <c r="H31" s="106" t="s">
        <v>5</v>
      </c>
      <c r="I31" s="120"/>
      <c r="J31" s="21" t="str">
        <f>B32</f>
        <v>B</v>
      </c>
      <c r="K31" s="41"/>
      <c r="N31" s="42"/>
      <c r="O31" s="9"/>
      <c r="R31" s="121" t="str">
        <f>"---------------"</f>
        <v>---------------</v>
      </c>
      <c r="S31" s="63"/>
      <c r="V31" s="122"/>
    </row>
    <row r="32" spans="1:22" ht="17.100000000000001" customHeight="1" x14ac:dyDescent="0.25">
      <c r="A32" s="40"/>
      <c r="B32" s="115" t="s">
        <v>43</v>
      </c>
      <c r="C32" s="2"/>
      <c r="D32" s="18"/>
      <c r="F32" s="22" t="str">
        <f>B31</f>
        <v>A</v>
      </c>
      <c r="G32" s="118"/>
      <c r="H32" s="107"/>
      <c r="I32" s="118"/>
      <c r="J32" s="23" t="str">
        <f>B33</f>
        <v>C</v>
      </c>
      <c r="K32" s="41"/>
      <c r="N32" s="42"/>
      <c r="R32" s="121"/>
      <c r="T32" s="121"/>
      <c r="V32" s="122"/>
    </row>
    <row r="33" spans="1:22" ht="17.100000000000001" customHeight="1" thickBot="1" x14ac:dyDescent="0.3">
      <c r="A33" s="40"/>
      <c r="B33" s="116" t="s">
        <v>44</v>
      </c>
      <c r="C33" s="28"/>
      <c r="D33" s="19"/>
      <c r="F33" s="24" t="str">
        <f>B32</f>
        <v>B</v>
      </c>
      <c r="G33" s="119"/>
      <c r="H33" s="108"/>
      <c r="I33" s="119"/>
      <c r="J33" s="26" t="str">
        <f>B33</f>
        <v>C</v>
      </c>
      <c r="K33" s="41"/>
      <c r="N33" s="42" t="s">
        <v>76</v>
      </c>
      <c r="O33" s="63"/>
      <c r="R33" s="121"/>
      <c r="T33" s="121"/>
      <c r="V33" s="122"/>
    </row>
    <row r="34" spans="1:22" ht="17.100000000000001" customHeight="1" thickBot="1" x14ac:dyDescent="0.3">
      <c r="A34" s="40"/>
      <c r="K34" s="41"/>
      <c r="N34" s="40"/>
      <c r="O34" s="11"/>
      <c r="P34" s="121" t="str">
        <f>"---------------"</f>
        <v>---------------</v>
      </c>
      <c r="Q34" s="63"/>
      <c r="T34" s="121"/>
      <c r="V34" s="122"/>
    </row>
    <row r="35" spans="1:22" ht="17.100000000000001" customHeight="1" thickBot="1" x14ac:dyDescent="0.3">
      <c r="A35" s="40"/>
      <c r="B35" s="33" t="s">
        <v>104</v>
      </c>
      <c r="C35" s="30" t="s">
        <v>3</v>
      </c>
      <c r="D35" s="31" t="s">
        <v>7</v>
      </c>
      <c r="F35" s="160" t="s">
        <v>110</v>
      </c>
      <c r="G35" s="161"/>
      <c r="H35" s="161"/>
      <c r="I35" s="161"/>
      <c r="J35" s="162"/>
      <c r="K35" s="41"/>
      <c r="N35" s="42" t="s">
        <v>112</v>
      </c>
      <c r="O35" s="34"/>
      <c r="Q35" s="11"/>
      <c r="T35" s="121"/>
      <c r="V35" s="122"/>
    </row>
    <row r="36" spans="1:22" ht="17.100000000000001" customHeight="1" x14ac:dyDescent="0.25">
      <c r="A36" s="40"/>
      <c r="B36" s="115" t="s">
        <v>41</v>
      </c>
      <c r="C36" s="27"/>
      <c r="D36" s="17"/>
      <c r="F36" s="20" t="str">
        <f>B36</f>
        <v>A</v>
      </c>
      <c r="G36" s="120"/>
      <c r="H36" s="106" t="s">
        <v>5</v>
      </c>
      <c r="I36" s="120"/>
      <c r="J36" s="21" t="str">
        <f>B37</f>
        <v>B</v>
      </c>
      <c r="K36" s="41"/>
      <c r="N36" s="42"/>
      <c r="O36" s="9"/>
      <c r="Q36" s="9"/>
      <c r="T36" s="121"/>
      <c r="V36" s="122"/>
    </row>
    <row r="37" spans="1:22" ht="17.100000000000001" customHeight="1" x14ac:dyDescent="0.25">
      <c r="A37" s="40"/>
      <c r="B37" s="115" t="s">
        <v>43</v>
      </c>
      <c r="C37" s="2"/>
      <c r="D37" s="18"/>
      <c r="F37" s="22" t="str">
        <f>B36</f>
        <v>A</v>
      </c>
      <c r="G37" s="118"/>
      <c r="H37" s="107"/>
      <c r="I37" s="118"/>
      <c r="J37" s="23" t="str">
        <f>B38</f>
        <v>C</v>
      </c>
      <c r="K37" s="41"/>
      <c r="N37" s="42"/>
      <c r="O37" s="9"/>
      <c r="T37" s="121" t="str">
        <f>"---------------"</f>
        <v>---------------</v>
      </c>
      <c r="U37" s="63"/>
      <c r="V37" s="41"/>
    </row>
    <row r="38" spans="1:22" ht="17.100000000000001" customHeight="1" thickBot="1" x14ac:dyDescent="0.3">
      <c r="A38" s="40"/>
      <c r="B38" s="116" t="s">
        <v>44</v>
      </c>
      <c r="C38" s="28"/>
      <c r="D38" s="19"/>
      <c r="F38" s="24" t="str">
        <f>B37</f>
        <v>B</v>
      </c>
      <c r="G38" s="119"/>
      <c r="H38" s="108"/>
      <c r="I38" s="119"/>
      <c r="J38" s="26" t="str">
        <f>B38</f>
        <v>C</v>
      </c>
      <c r="K38" s="41"/>
      <c r="N38" s="42"/>
      <c r="T38" s="121"/>
      <c r="V38" s="41"/>
    </row>
    <row r="39" spans="1:22" ht="17.100000000000001" customHeight="1" x14ac:dyDescent="0.25">
      <c r="A39" s="40"/>
      <c r="D39" s="11"/>
      <c r="E39" s="11"/>
      <c r="F39" s="11"/>
      <c r="K39" s="41"/>
      <c r="N39" s="42" t="s">
        <v>80</v>
      </c>
      <c r="O39" s="63"/>
      <c r="T39" s="121"/>
      <c r="V39" s="41"/>
    </row>
    <row r="40" spans="1:22" ht="17.100000000000001" customHeight="1" thickBot="1" x14ac:dyDescent="0.3">
      <c r="A40" s="49"/>
      <c r="B40" s="45"/>
      <c r="C40" s="45"/>
      <c r="D40" s="45"/>
      <c r="E40" s="45"/>
      <c r="F40" s="45"/>
      <c r="G40" s="45"/>
      <c r="H40" s="50"/>
      <c r="I40" s="45"/>
      <c r="J40" s="45"/>
      <c r="K40" s="46"/>
      <c r="N40" s="42"/>
      <c r="O40" s="11"/>
      <c r="P40" s="121" t="str">
        <f>"---------------"</f>
        <v>---------------</v>
      </c>
      <c r="Q40" s="63"/>
      <c r="T40" s="121"/>
      <c r="V40" s="41"/>
    </row>
    <row r="41" spans="1:22" ht="17.100000000000001" customHeight="1" x14ac:dyDescent="0.25">
      <c r="N41" s="42" t="s">
        <v>75</v>
      </c>
      <c r="O41" s="34"/>
      <c r="Q41" s="11"/>
      <c r="R41" s="121"/>
      <c r="T41" s="121"/>
      <c r="V41" s="41"/>
    </row>
    <row r="42" spans="1:22" ht="17.100000000000001" customHeight="1" x14ac:dyDescent="0.25">
      <c r="N42" s="42"/>
      <c r="O42" s="9"/>
      <c r="Q42" s="9"/>
      <c r="R42" s="121"/>
      <c r="T42" s="121"/>
      <c r="V42" s="41"/>
    </row>
    <row r="43" spans="1:22" ht="17.100000000000001" customHeight="1" x14ac:dyDescent="0.25">
      <c r="N43" s="42"/>
      <c r="O43" s="9"/>
      <c r="R43" s="121" t="str">
        <f>"---------------"</f>
        <v>---------------</v>
      </c>
      <c r="S43" s="63"/>
      <c r="V43" s="41"/>
    </row>
    <row r="44" spans="1:22" ht="17.100000000000001" customHeight="1" x14ac:dyDescent="0.25">
      <c r="N44" s="42"/>
      <c r="R44" s="121"/>
      <c r="V44" s="41"/>
    </row>
    <row r="45" spans="1:22" ht="17.100000000000001" customHeight="1" x14ac:dyDescent="0.25">
      <c r="N45" s="42" t="s">
        <v>74</v>
      </c>
      <c r="O45" s="63"/>
      <c r="R45" s="121"/>
      <c r="U45" s="1" t="str">
        <f>IF(U13="","",IF(U13=S7,S19,S7))</f>
        <v/>
      </c>
      <c r="V45" s="41"/>
    </row>
    <row r="46" spans="1:22" ht="17.100000000000001" customHeight="1" x14ac:dyDescent="0.25">
      <c r="N46" s="42"/>
      <c r="P46" s="121" t="str">
        <f>"---------------"</f>
        <v>---------------</v>
      </c>
      <c r="Q46" s="63"/>
      <c r="V46" s="41"/>
    </row>
    <row r="47" spans="1:22" ht="17.100000000000001" customHeight="1" x14ac:dyDescent="0.25">
      <c r="N47" s="42" t="s">
        <v>68</v>
      </c>
      <c r="O47" s="34"/>
      <c r="U47" s="1" t="str">
        <f>IF(U37="","",IF(U37=S31,S43,S31))</f>
        <v/>
      </c>
      <c r="V47" s="41"/>
    </row>
    <row r="48" spans="1:22" ht="17.100000000000001" customHeight="1" thickBot="1" x14ac:dyDescent="0.3">
      <c r="N48" s="49"/>
      <c r="O48" s="45"/>
      <c r="P48" s="45"/>
      <c r="Q48" s="45"/>
      <c r="R48" s="45"/>
      <c r="S48" s="45"/>
      <c r="T48" s="45"/>
      <c r="U48" s="45"/>
      <c r="V48" s="46"/>
    </row>
  </sheetData>
  <sheetProtection selectLockedCells="1"/>
  <protectedRanges>
    <protectedRange algorithmName="SHA-512" hashValue="DFEKZkfjwVaa91rcPUWznniPfdWvpWyZu9h/X6L9ECdOV+PpGmEH1EKuJa6LysfnP5hwlJ+wWn1ZKHji/qoMZA==" saltValue="/iI4DYz0TEGm/Cjtm+aeug==" spinCount="100000" sqref="G36:G38 I36:I38 B36:B38 B21:B23 G11:G13 I11:I13 G16:G18 I16:I18 D39:F39 G21:G23 I21:I23 B16:B18 B11:B13 B31:B33 G26:G28 I26:I28 G31:G33 I31:I33 B26:B28" name="Saissable6"/>
  </protectedRanges>
  <mergeCells count="9">
    <mergeCell ref="F35:J35"/>
    <mergeCell ref="F15:J15"/>
    <mergeCell ref="F20:J20"/>
    <mergeCell ref="F25:J25"/>
    <mergeCell ref="N1:V1"/>
    <mergeCell ref="H11:H13"/>
    <mergeCell ref="A8:K8"/>
    <mergeCell ref="F10:J10"/>
    <mergeCell ref="F30:J30"/>
  </mergeCells>
  <pageMargins left="0.25" right="0.25" top="0.75" bottom="0.75" header="0.3" footer="0.3"/>
  <pageSetup paperSize="9" scale="61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6557-BA39-49CE-B946-8DA3228D91E9}">
  <sheetPr>
    <tabColor theme="6" tint="0.79998168889431442"/>
  </sheetPr>
  <dimension ref="B1:AF34"/>
  <sheetViews>
    <sheetView workbookViewId="0">
      <selection activeCell="O24" sqref="O24"/>
    </sheetView>
  </sheetViews>
  <sheetFormatPr defaultColWidth="11.42578125" defaultRowHeight="15" x14ac:dyDescent="0.25"/>
  <cols>
    <col min="1" max="1" width="2.7109375" style="1" customWidth="1"/>
    <col min="2" max="2" width="5.7109375" style="1" customWidth="1"/>
    <col min="3" max="3" width="13.28515625" style="1" bestFit="1" customWidth="1"/>
    <col min="4" max="4" width="5.7109375" style="1" customWidth="1"/>
    <col min="5" max="5" width="2.7109375" style="1" customWidth="1"/>
    <col min="6" max="6" width="5.7109375" style="1" customWidth="1"/>
    <col min="7" max="9" width="11.42578125" style="1"/>
    <col min="10" max="10" width="2.7109375" style="1" customWidth="1"/>
    <col min="11" max="11" width="11.42578125" style="1" customWidth="1"/>
    <col min="12" max="12" width="5.7109375" style="1" customWidth="1"/>
    <col min="13" max="13" width="3.85546875" style="3" customWidth="1"/>
    <col min="14" max="14" width="5.7109375" style="1" customWidth="1"/>
    <col min="15" max="15" width="11.42578125" style="1"/>
    <col min="16" max="16" width="5.7109375" style="1" customWidth="1"/>
    <col min="17" max="17" width="2.7109375" style="9" customWidth="1"/>
    <col min="18" max="18" width="5.7109375" style="9" customWidth="1"/>
    <col min="19" max="28" width="11.42578125" style="1"/>
    <col min="29" max="29" width="5.7109375" style="1" customWidth="1"/>
    <col min="30" max="30" width="2.7109375" style="1" customWidth="1"/>
    <col min="31" max="31" width="3.7109375" style="1" customWidth="1"/>
    <col min="32" max="32" width="15.7109375" style="1" customWidth="1"/>
    <col min="33" max="16384" width="11.42578125" style="1"/>
  </cols>
  <sheetData>
    <row r="1" spans="2:32" ht="15.75" thickBot="1" x14ac:dyDescent="0.3"/>
    <row r="2" spans="2:32" ht="15.75" thickBot="1" x14ac:dyDescent="0.3">
      <c r="B2" s="150" t="s">
        <v>21</v>
      </c>
      <c r="C2" s="151"/>
      <c r="D2" s="152"/>
      <c r="F2" s="150" t="s">
        <v>19</v>
      </c>
      <c r="G2" s="151"/>
      <c r="H2" s="151"/>
      <c r="I2" s="151"/>
      <c r="J2" s="151"/>
      <c r="K2" s="151"/>
      <c r="L2" s="151"/>
      <c r="M2" s="151"/>
      <c r="N2" s="151"/>
      <c r="O2" s="151"/>
      <c r="P2" s="152"/>
      <c r="Q2" s="1"/>
      <c r="R2" s="150" t="s">
        <v>20</v>
      </c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2"/>
      <c r="AE2" s="160" t="s">
        <v>22</v>
      </c>
      <c r="AF2" s="162"/>
    </row>
    <row r="3" spans="2:32" ht="15.75" thickBot="1" x14ac:dyDescent="0.3">
      <c r="B3" s="37"/>
      <c r="C3" s="38"/>
      <c r="D3" s="39"/>
      <c r="F3" s="37"/>
      <c r="G3" s="38"/>
      <c r="H3" s="38"/>
      <c r="I3" s="38"/>
      <c r="J3" s="38"/>
      <c r="K3" s="38"/>
      <c r="L3" s="38"/>
      <c r="M3" s="38"/>
      <c r="N3" s="38"/>
      <c r="O3" s="38"/>
      <c r="P3" s="47"/>
      <c r="Q3" s="1"/>
      <c r="R3" s="37"/>
      <c r="S3" s="38"/>
      <c r="T3" s="38"/>
      <c r="U3" s="38"/>
      <c r="V3" s="38"/>
      <c r="W3" s="38"/>
      <c r="X3" s="38"/>
      <c r="Y3" s="38"/>
      <c r="Z3" s="38"/>
      <c r="AA3" s="38"/>
      <c r="AB3" s="38"/>
      <c r="AC3" s="39"/>
      <c r="AE3" s="14">
        <v>1</v>
      </c>
      <c r="AF3" s="21" t="str">
        <f>IF(Z9="","",IF(Z9&gt;Z17,Y9,Y17))</f>
        <v>charlie kirk</v>
      </c>
    </row>
    <row r="4" spans="2:32" ht="15.75" thickBot="1" x14ac:dyDescent="0.3">
      <c r="B4" s="40"/>
      <c r="C4" s="33" t="s">
        <v>0</v>
      </c>
      <c r="D4" s="41"/>
      <c r="F4" s="40"/>
      <c r="G4" s="33" t="s">
        <v>1</v>
      </c>
      <c r="H4" s="30" t="s">
        <v>3</v>
      </c>
      <c r="I4" s="31" t="s">
        <v>7</v>
      </c>
      <c r="K4" s="160" t="s">
        <v>4</v>
      </c>
      <c r="L4" s="161"/>
      <c r="M4" s="161"/>
      <c r="N4" s="161"/>
      <c r="O4" s="162"/>
      <c r="P4" s="41"/>
      <c r="Q4" s="1"/>
      <c r="R4" s="40"/>
      <c r="S4" s="172" t="s">
        <v>16</v>
      </c>
      <c r="T4" s="172"/>
      <c r="AC4" s="41"/>
      <c r="AE4" s="54">
        <v>2</v>
      </c>
      <c r="AF4" s="23" t="str">
        <f>IF(Z9="","",IF(Z9&lt;Z17,Y9,Y17))</f>
        <v>branquignoles</v>
      </c>
    </row>
    <row r="5" spans="2:32" x14ac:dyDescent="0.25">
      <c r="B5" s="40"/>
      <c r="C5" s="32" t="s">
        <v>53</v>
      </c>
      <c r="D5" s="41"/>
      <c r="F5" s="40"/>
      <c r="G5" s="32" t="s">
        <v>53</v>
      </c>
      <c r="H5" s="4">
        <f>(IF(L5&gt;N5,$C$13,IF(L5&lt;N5,$C$19,$C$16)))+(IF(L6&gt;N6,$C$13,IF(L6&lt;N6,$C$19,$C$16)))</f>
        <v>4</v>
      </c>
      <c r="I5" s="29">
        <f>SUM(L5,L6)</f>
        <v>36</v>
      </c>
      <c r="K5" s="20" t="str">
        <f>G5</f>
        <v>branquignols</v>
      </c>
      <c r="L5" s="6">
        <v>14</v>
      </c>
      <c r="M5" s="169" t="s">
        <v>5</v>
      </c>
      <c r="N5" s="6">
        <v>11</v>
      </c>
      <c r="O5" s="21" t="str">
        <f>G6</f>
        <v>chacha lovers</v>
      </c>
      <c r="P5" s="41"/>
      <c r="R5" s="42"/>
      <c r="S5" s="11" t="s">
        <v>0</v>
      </c>
      <c r="T5" s="11" t="s">
        <v>3</v>
      </c>
      <c r="AC5" s="41"/>
      <c r="AE5" s="54">
        <v>3</v>
      </c>
      <c r="AF5" s="23" t="str">
        <f>IF(Z21="","",IF(Z21&gt;Z23,Y21,Y23))</f>
        <v>en impro</v>
      </c>
    </row>
    <row r="6" spans="2:32" x14ac:dyDescent="0.25">
      <c r="B6" s="40"/>
      <c r="C6" s="12" t="s">
        <v>55</v>
      </c>
      <c r="D6" s="41"/>
      <c r="F6" s="40"/>
      <c r="G6" s="12" t="s">
        <v>54</v>
      </c>
      <c r="H6" s="2">
        <f>IF(L5&gt;N5,$C$19,IF(L5&lt;N5,$C$13,$C$16))+IF(L7&gt;N7,$C$13,IF(L7&lt;N7,$C$19,$C$16))</f>
        <v>2</v>
      </c>
      <c r="I6" s="18">
        <f>SUM(N5,L7)</f>
        <v>26</v>
      </c>
      <c r="K6" s="22" t="str">
        <f>G5</f>
        <v>branquignols</v>
      </c>
      <c r="L6" s="5">
        <v>22</v>
      </c>
      <c r="M6" s="170"/>
      <c r="N6" s="5">
        <v>21</v>
      </c>
      <c r="O6" s="23" t="str">
        <f>G7</f>
        <v>en impro</v>
      </c>
      <c r="P6" s="41"/>
      <c r="R6" s="42"/>
      <c r="S6" s="34" t="str">
        <f>IF(I18="","",I18)</f>
        <v>chacha lover</v>
      </c>
      <c r="T6" s="5">
        <v>1</v>
      </c>
      <c r="V6" s="154" t="s">
        <v>17</v>
      </c>
      <c r="W6" s="154"/>
      <c r="AC6" s="41"/>
      <c r="AE6" s="54">
        <v>4</v>
      </c>
      <c r="AF6" s="23" t="str">
        <f>IF(Z21="","",IF(Z21&lt;Z23,Y21,Y23))</f>
        <v>chacha lover</v>
      </c>
    </row>
    <row r="7" spans="2:32" ht="15.75" thickBot="1" x14ac:dyDescent="0.3">
      <c r="B7" s="40"/>
      <c r="C7" s="12" t="s">
        <v>54</v>
      </c>
      <c r="D7" s="41"/>
      <c r="F7" s="40"/>
      <c r="G7" s="13" t="s">
        <v>58</v>
      </c>
      <c r="H7" s="28">
        <f>(IF(L6&gt;N6,$C$19,IF(L6&lt;N6,$C$13,$C$16)))+(IF(L7&gt;N7,$C$19,IF(L7&lt;N7,$C$13,$C$16)))</f>
        <v>0</v>
      </c>
      <c r="I7" s="19">
        <f>SUM(N6,N7)</f>
        <v>35</v>
      </c>
      <c r="K7" s="24" t="str">
        <f>G6</f>
        <v>chacha lovers</v>
      </c>
      <c r="L7" s="25">
        <v>15</v>
      </c>
      <c r="M7" s="171"/>
      <c r="N7" s="25">
        <v>14</v>
      </c>
      <c r="O7" s="26" t="str">
        <f>G7</f>
        <v>en impro</v>
      </c>
      <c r="P7" s="41"/>
      <c r="Q7" s="10"/>
      <c r="R7" s="43"/>
      <c r="S7" s="9"/>
      <c r="U7" s="35" t="str">
        <f>"------------------"</f>
        <v>------------------</v>
      </c>
      <c r="V7" s="34" t="str">
        <f>IF(T6=0,"",IF(T6&gt;T8,S6,S8))</f>
        <v>chacha lover</v>
      </c>
      <c r="W7" s="5">
        <v>11</v>
      </c>
      <c r="AC7" s="41"/>
      <c r="AE7" s="54">
        <v>5</v>
      </c>
      <c r="AF7" s="23" t="str">
        <f>IF(Z27="","",IF(Z27&gt;Z29,Y27,Y29))</f>
        <v/>
      </c>
    </row>
    <row r="8" spans="2:32" ht="15.75" thickBot="1" x14ac:dyDescent="0.3">
      <c r="B8" s="40"/>
      <c r="C8" s="12" t="s">
        <v>57</v>
      </c>
      <c r="D8" s="41"/>
      <c r="F8" s="40"/>
      <c r="P8" s="48"/>
      <c r="R8" s="42"/>
      <c r="S8" s="34" t="str">
        <f>IF(I23="","",I23)</f>
        <v>lezarabes</v>
      </c>
      <c r="T8" s="5"/>
      <c r="X8" s="35"/>
      <c r="Y8" s="154" t="s">
        <v>13</v>
      </c>
      <c r="Z8" s="154"/>
      <c r="AC8" s="41"/>
      <c r="AE8" s="55">
        <v>6</v>
      </c>
      <c r="AF8" s="26" t="str">
        <f>IF(Z27="","",IF(Z27&lt;Z29,Y27,Y29))</f>
        <v/>
      </c>
    </row>
    <row r="9" spans="2:32" ht="15.75" thickBot="1" x14ac:dyDescent="0.3">
      <c r="B9" s="40"/>
      <c r="C9" s="12" t="s">
        <v>56</v>
      </c>
      <c r="D9" s="41"/>
      <c r="F9" s="40"/>
      <c r="G9" s="33" t="s">
        <v>2</v>
      </c>
      <c r="H9" s="30" t="s">
        <v>3</v>
      </c>
      <c r="I9" s="31" t="s">
        <v>7</v>
      </c>
      <c r="K9" s="160" t="s">
        <v>6</v>
      </c>
      <c r="L9" s="161"/>
      <c r="M9" s="161"/>
      <c r="N9" s="161"/>
      <c r="O9" s="162"/>
      <c r="P9" s="41"/>
      <c r="R9" s="42"/>
      <c r="X9" s="36" t="str">
        <f>"------------------"</f>
        <v>------------------</v>
      </c>
      <c r="Y9" s="34" t="str">
        <f>IF(W7="","",IF(W7&gt;W11,V7,V11))</f>
        <v>charlie kirk</v>
      </c>
      <c r="Z9" s="5">
        <v>25</v>
      </c>
      <c r="AC9" s="41"/>
    </row>
    <row r="10" spans="2:32" ht="15.75" thickBot="1" x14ac:dyDescent="0.3">
      <c r="B10" s="40"/>
      <c r="C10" s="13" t="s">
        <v>58</v>
      </c>
      <c r="D10" s="41"/>
      <c r="F10" s="40"/>
      <c r="G10" s="12" t="s">
        <v>55</v>
      </c>
      <c r="H10" s="27">
        <f>(IF(L10&gt;N10,$C$13,IF(L10&lt;N10,$C$19,$C$16)))+(IF(L11&gt;N11,$C$13,IF(L11&lt;N11,$C$19,$C$16)))</f>
        <v>4</v>
      </c>
      <c r="I10" s="17">
        <f>SUM(L10,L11)</f>
        <v>27</v>
      </c>
      <c r="K10" s="20" t="str">
        <f>G10</f>
        <v>Charlie kirk</v>
      </c>
      <c r="L10" s="6">
        <v>13</v>
      </c>
      <c r="M10" s="169" t="s">
        <v>5</v>
      </c>
      <c r="N10" s="6">
        <v>7</v>
      </c>
      <c r="O10" s="21" t="str">
        <f>G11</f>
        <v>lezarabes</v>
      </c>
      <c r="P10" s="41"/>
      <c r="R10" s="42"/>
      <c r="X10" s="35"/>
      <c r="AA10" s="35"/>
      <c r="AC10" s="41"/>
    </row>
    <row r="11" spans="2:32" ht="15.75" thickBot="1" x14ac:dyDescent="0.3">
      <c r="B11" s="40"/>
      <c r="D11" s="41"/>
      <c r="F11" s="40"/>
      <c r="G11" s="12" t="s">
        <v>56</v>
      </c>
      <c r="H11" s="2">
        <f>IF(L10&gt;N10,$C$19,IF(L10&lt;N10,$C$13,$C$16))+IF(L12&gt;N12,$C$13,IF(L12&lt;N12,$C$19,$C$16))</f>
        <v>0</v>
      </c>
      <c r="I11" s="18">
        <f>SUM(N10,L12)</f>
        <v>20</v>
      </c>
      <c r="K11" s="22" t="str">
        <f>G10</f>
        <v>Charlie kirk</v>
      </c>
      <c r="L11" s="5">
        <v>14</v>
      </c>
      <c r="M11" s="170"/>
      <c r="N11" s="5">
        <v>13</v>
      </c>
      <c r="O11" s="23" t="str">
        <f>G12</f>
        <v>unijambistes</v>
      </c>
      <c r="P11" s="41"/>
      <c r="R11" s="42"/>
      <c r="U11" s="9"/>
      <c r="V11" s="34" t="str">
        <f>IF(I21="","",I21)</f>
        <v>charlie kirk</v>
      </c>
      <c r="W11" s="5">
        <v>15</v>
      </c>
      <c r="AA11" s="35"/>
      <c r="AC11" s="41"/>
    </row>
    <row r="12" spans="2:32" ht="15.75" thickBot="1" x14ac:dyDescent="0.3">
      <c r="B12" s="40"/>
      <c r="C12" s="14" t="s">
        <v>8</v>
      </c>
      <c r="D12" s="48"/>
      <c r="F12" s="40"/>
      <c r="G12" s="12" t="s">
        <v>57</v>
      </c>
      <c r="H12" s="28">
        <f>(IF(L11&gt;N11,$C$19,IF(L11&lt;N11,$C$13,$C$16)))+(IF(L12&gt;N12,$C$19,IF(L12&lt;N12,$C$13,$C$16)))</f>
        <v>2</v>
      </c>
      <c r="I12" s="19">
        <f>SUM(N11,N12)</f>
        <v>28</v>
      </c>
      <c r="K12" s="24" t="str">
        <f>G11</f>
        <v>lezarabes</v>
      </c>
      <c r="L12" s="25">
        <v>13</v>
      </c>
      <c r="M12" s="171"/>
      <c r="N12" s="25">
        <v>15</v>
      </c>
      <c r="O12" s="26" t="str">
        <f>G12</f>
        <v>unijambistes</v>
      </c>
      <c r="P12" s="41"/>
      <c r="R12" s="42"/>
      <c r="AA12" s="35"/>
      <c r="AB12" s="1" t="s">
        <v>14</v>
      </c>
      <c r="AC12" s="41"/>
    </row>
    <row r="13" spans="2:32" ht="15.75" thickBot="1" x14ac:dyDescent="0.3">
      <c r="B13" s="40"/>
      <c r="C13" s="15">
        <v>2</v>
      </c>
      <c r="D13" s="48"/>
      <c r="F13" s="40"/>
      <c r="P13" s="41"/>
      <c r="R13" s="42"/>
      <c r="AA13" s="35" t="str">
        <f>"------------------"</f>
        <v>------------------</v>
      </c>
      <c r="AB13" s="33" t="str">
        <f>IF(Z9="","",IF(Z9&gt;Z17,Y9,Y17))</f>
        <v>charlie kirk</v>
      </c>
      <c r="AC13" s="41"/>
    </row>
    <row r="14" spans="2:32" ht="15.75" thickBot="1" x14ac:dyDescent="0.3">
      <c r="B14" s="40"/>
      <c r="C14" s="11"/>
      <c r="D14" s="48"/>
      <c r="F14" s="40"/>
      <c r="P14" s="41"/>
      <c r="R14" s="42"/>
      <c r="AA14" s="35"/>
      <c r="AC14" s="41"/>
    </row>
    <row r="15" spans="2:32" ht="15.75" thickBot="1" x14ac:dyDescent="0.3">
      <c r="B15" s="40"/>
      <c r="C15" s="14" t="s">
        <v>9</v>
      </c>
      <c r="D15" s="48"/>
      <c r="F15" s="40"/>
      <c r="I15" s="150" t="s">
        <v>12</v>
      </c>
      <c r="J15" s="151"/>
      <c r="K15" s="152"/>
      <c r="M15" s="1"/>
      <c r="P15" s="41"/>
      <c r="R15" s="42"/>
      <c r="U15" s="9"/>
      <c r="V15" s="34" t="str">
        <f>IF(I17="","",I17)</f>
        <v>branquignoles</v>
      </c>
      <c r="W15" s="5">
        <v>1</v>
      </c>
      <c r="AA15" s="35"/>
      <c r="AC15" s="41"/>
    </row>
    <row r="16" spans="2:32" ht="15.75" thickBot="1" x14ac:dyDescent="0.3">
      <c r="B16" s="40"/>
      <c r="C16" s="15">
        <v>1</v>
      </c>
      <c r="D16" s="48"/>
      <c r="F16" s="40"/>
      <c r="I16" s="150" t="s">
        <v>1</v>
      </c>
      <c r="J16" s="151"/>
      <c r="K16" s="152"/>
      <c r="M16" s="1"/>
      <c r="P16" s="41"/>
      <c r="R16" s="42"/>
      <c r="X16" s="35"/>
      <c r="AA16" s="35"/>
      <c r="AC16" s="41"/>
    </row>
    <row r="17" spans="2:29" ht="15.75" thickBot="1" x14ac:dyDescent="0.3">
      <c r="B17" s="40"/>
      <c r="C17" s="11"/>
      <c r="D17" s="48"/>
      <c r="F17" s="40"/>
      <c r="I17" s="163" t="s">
        <v>59</v>
      </c>
      <c r="J17" s="164"/>
      <c r="K17" s="165"/>
      <c r="M17" s="1"/>
      <c r="P17" s="41"/>
      <c r="R17" s="42"/>
      <c r="X17" s="36" t="str">
        <f>"------------------"</f>
        <v>------------------</v>
      </c>
      <c r="Y17" s="34" t="str">
        <f>IF(W15="","",IF(W15&gt;W19,V15,V19))</f>
        <v>branquignoles</v>
      </c>
      <c r="Z17" s="5">
        <v>23</v>
      </c>
      <c r="AC17" s="41"/>
    </row>
    <row r="18" spans="2:29" x14ac:dyDescent="0.25">
      <c r="B18" s="40"/>
      <c r="C18" s="14" t="s">
        <v>10</v>
      </c>
      <c r="D18" s="48"/>
      <c r="F18" s="40"/>
      <c r="I18" s="166" t="s">
        <v>60</v>
      </c>
      <c r="J18" s="167"/>
      <c r="K18" s="168"/>
      <c r="M18" s="1"/>
      <c r="P18" s="41"/>
      <c r="R18" s="42"/>
      <c r="S18" s="34" t="str">
        <f>IF(I19="","",I19)</f>
        <v>en impro</v>
      </c>
      <c r="T18" s="5">
        <v>16</v>
      </c>
      <c r="X18" s="35"/>
      <c r="AC18" s="41"/>
    </row>
    <row r="19" spans="2:29" ht="15.75" thickBot="1" x14ac:dyDescent="0.3">
      <c r="B19" s="40"/>
      <c r="C19" s="15">
        <v>0</v>
      </c>
      <c r="D19" s="48"/>
      <c r="F19" s="40"/>
      <c r="I19" s="157" t="s">
        <v>58</v>
      </c>
      <c r="J19" s="158"/>
      <c r="K19" s="159"/>
      <c r="M19" s="1"/>
      <c r="P19" s="41"/>
      <c r="R19" s="42"/>
      <c r="U19" s="35" t="str">
        <f>"------------------"</f>
        <v>------------------</v>
      </c>
      <c r="V19" s="34" t="str">
        <f>IF(T18="","",IF(T18&gt;T20,S18,S20))</f>
        <v>en impro</v>
      </c>
      <c r="W19" s="5"/>
      <c r="AC19" s="41"/>
    </row>
    <row r="20" spans="2:29" ht="15.75" thickBot="1" x14ac:dyDescent="0.3">
      <c r="B20" s="49"/>
      <c r="C20" s="45"/>
      <c r="D20" s="46"/>
      <c r="F20" s="40"/>
      <c r="I20" s="150" t="s">
        <v>2</v>
      </c>
      <c r="J20" s="151"/>
      <c r="K20" s="152"/>
      <c r="P20" s="41"/>
      <c r="R20" s="42"/>
      <c r="S20" s="34" t="str">
        <f>IF(I22="","",I22)</f>
        <v>unijambistes</v>
      </c>
      <c r="T20" s="5">
        <v>14</v>
      </c>
      <c r="Y20" s="154" t="s">
        <v>15</v>
      </c>
      <c r="Z20" s="154"/>
      <c r="AC20" s="41"/>
    </row>
    <row r="21" spans="2:29" x14ac:dyDescent="0.25">
      <c r="F21" s="40"/>
      <c r="I21" s="163" t="s">
        <v>61</v>
      </c>
      <c r="J21" s="164"/>
      <c r="K21" s="165"/>
      <c r="P21" s="41"/>
      <c r="R21" s="42"/>
      <c r="Y21" s="34" t="str">
        <f>IF(W7="","",IF(W7&lt;W11,V7,V11))</f>
        <v>chacha lover</v>
      </c>
      <c r="Z21" s="5">
        <v>21</v>
      </c>
      <c r="AC21" s="41"/>
    </row>
    <row r="22" spans="2:29" x14ac:dyDescent="0.25">
      <c r="F22" s="40"/>
      <c r="I22" s="166" t="s">
        <v>57</v>
      </c>
      <c r="J22" s="167"/>
      <c r="K22" s="168"/>
      <c r="P22" s="41"/>
      <c r="R22" s="42"/>
      <c r="AC22" s="41"/>
    </row>
    <row r="23" spans="2:29" ht="15.75" thickBot="1" x14ac:dyDescent="0.3">
      <c r="F23" s="40"/>
      <c r="I23" s="157" t="s">
        <v>56</v>
      </c>
      <c r="J23" s="158"/>
      <c r="K23" s="159"/>
      <c r="P23" s="41"/>
      <c r="R23" s="42"/>
      <c r="Y23" s="34" t="str">
        <f>IF(W15="","",IF(W15&lt;W19,V15,V19))</f>
        <v>en impro</v>
      </c>
      <c r="Z23" s="5">
        <v>25</v>
      </c>
      <c r="AC23" s="41"/>
    </row>
    <row r="24" spans="2:29" ht="15.75" thickBot="1" x14ac:dyDescent="0.3">
      <c r="F24" s="49"/>
      <c r="G24" s="45"/>
      <c r="H24" s="45"/>
      <c r="I24" s="45"/>
      <c r="J24" s="45"/>
      <c r="K24" s="45"/>
      <c r="L24" s="45"/>
      <c r="M24" s="50"/>
      <c r="N24" s="45"/>
      <c r="O24" s="45"/>
      <c r="P24" s="46"/>
      <c r="R24" s="42"/>
      <c r="AC24" s="41"/>
    </row>
    <row r="25" spans="2:29" x14ac:dyDescent="0.25">
      <c r="R25" s="42"/>
      <c r="AC25" s="41"/>
    </row>
    <row r="26" spans="2:29" x14ac:dyDescent="0.25">
      <c r="R26" s="42"/>
      <c r="Y26" s="154" t="s">
        <v>18</v>
      </c>
      <c r="Z26" s="154"/>
      <c r="AC26" s="41"/>
    </row>
    <row r="27" spans="2:29" x14ac:dyDescent="0.25">
      <c r="R27" s="42"/>
      <c r="Y27" s="34" t="str">
        <f>IF(T6="","",IF(T6&lt;T8,S6,S8))</f>
        <v>lezarabes</v>
      </c>
      <c r="Z27" s="5"/>
      <c r="AC27" s="41"/>
    </row>
    <row r="28" spans="2:29" x14ac:dyDescent="0.25">
      <c r="R28" s="42"/>
      <c r="AC28" s="41"/>
    </row>
    <row r="29" spans="2:29" x14ac:dyDescent="0.25">
      <c r="R29" s="42"/>
      <c r="Y29" s="34" t="str">
        <f>IF(T18="","",IF(T18&lt;T20,S18,S20))</f>
        <v>unijambistes</v>
      </c>
      <c r="Z29" s="5"/>
      <c r="AC29" s="41"/>
    </row>
    <row r="30" spans="2:29" ht="15.75" thickBot="1" x14ac:dyDescent="0.3">
      <c r="R30" s="44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6"/>
    </row>
    <row r="34" spans="3:6" x14ac:dyDescent="0.25">
      <c r="C34" s="7"/>
      <c r="D34" s="8" t="s">
        <v>11</v>
      </c>
      <c r="F34" s="8"/>
    </row>
  </sheetData>
  <sheetProtection selectLockedCells="1"/>
  <protectedRanges>
    <protectedRange algorithmName="SHA-512" hashValue="DFEKZkfjwVaa91rcPUWznniPfdWvpWyZu9h/X6L9ECdOV+PpGmEH1EKuJa6LysfnP5hwlJ+wWn1ZKHji/qoMZA==" saltValue="/iI4DYz0TEGm/Cjtm+aeug==" spinCount="100000" sqref="C5:C10 C13 C16 C19 L5:L7 N5:N7 L10:L12 N10:N12 I17:K19 I21:K23 T6 T8 T18 T20 W7 W11 W15 W19 Z9 Z17 Z21 Z23 Z27 Z29 G10:G12 G5:G7" name="Saissable6"/>
  </protectedRanges>
  <mergeCells count="22">
    <mergeCell ref="I15:K15"/>
    <mergeCell ref="B2:D2"/>
    <mergeCell ref="F2:P2"/>
    <mergeCell ref="R2:AC2"/>
    <mergeCell ref="AE2:AF2"/>
    <mergeCell ref="K4:O4"/>
    <mergeCell ref="S4:T4"/>
    <mergeCell ref="M5:M7"/>
    <mergeCell ref="V6:W6"/>
    <mergeCell ref="Y8:Z8"/>
    <mergeCell ref="K9:O9"/>
    <mergeCell ref="M10:M12"/>
    <mergeCell ref="I21:K21"/>
    <mergeCell ref="I22:K22"/>
    <mergeCell ref="I23:K23"/>
    <mergeCell ref="Y26:Z26"/>
    <mergeCell ref="I16:K16"/>
    <mergeCell ref="I17:K17"/>
    <mergeCell ref="I18:K18"/>
    <mergeCell ref="I19:K19"/>
    <mergeCell ref="I20:K20"/>
    <mergeCell ref="Y20:Z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6 Equipes 2P</vt:lpstr>
      <vt:lpstr>6 Equipes 1P 3T</vt:lpstr>
      <vt:lpstr>8 Swiss</vt:lpstr>
      <vt:lpstr>8 DoubleElim</vt:lpstr>
      <vt:lpstr>8 Equipes</vt:lpstr>
      <vt:lpstr>10 Equipes</vt:lpstr>
      <vt:lpstr>12 Equipes 3P</vt:lpstr>
      <vt:lpstr>12 Equipes 2P</vt:lpstr>
      <vt:lpstr>14 Equipes</vt:lpstr>
      <vt:lpstr>16 Equipes</vt:lpstr>
      <vt:lpstr>16 Equipes rapide</vt:lpstr>
      <vt:lpstr>IMPR12</vt:lpstr>
      <vt:lpstr>IMPR16</vt:lpstr>
      <vt:lpstr>IMPR18</vt:lpstr>
      <vt:lpstr>tournoi de noel volley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Martins De Aranjo</dc:creator>
  <cp:lastModifiedBy>Axel Martins De Aranjo</cp:lastModifiedBy>
  <cp:lastPrinted>2026-02-18T16:52:25Z</cp:lastPrinted>
  <dcterms:created xsi:type="dcterms:W3CDTF">2025-02-28T12:47:46Z</dcterms:created>
  <dcterms:modified xsi:type="dcterms:W3CDTF">2026-07-17T06:12:28Z</dcterms:modified>
</cp:coreProperties>
</file>